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ABC Allocation" sheetId="2" r:id="rId5"/>
    <sheet state="visible" name="Monthly FP&amp;A" sheetId="3" r:id="rId6"/>
    <sheet state="visible" name="Shipping Model" sheetId="4" r:id="rId7"/>
    <sheet state="visible" name="CVP" sheetId="5" r:id="rId8"/>
    <sheet state="visible" name="Traceability" sheetId="6" r:id="rId9"/>
  </sheets>
  <definedNames/>
  <calcPr/>
  <extLst>
    <ext uri="GoogleSheetsCustomDataVersion2">
      <go:sheetsCustomData xmlns:go="http://customooxmlschemas.google.com/" r:id="rId10" roundtripDataChecksum="kJupBWy+2IerxCaDUNAmnRWal9ILHrbVwOtg7DtxSBQ="/>
    </ext>
  </extLst>
</workbook>
</file>

<file path=xl/sharedStrings.xml><?xml version="1.0" encoding="utf-8"?>
<sst xmlns="http://schemas.openxmlformats.org/spreadsheetml/2006/main" count="535" uniqueCount="307">
  <si>
    <t>RampCo Driver-Based FP&amp;A Model — Pricing, Forecast, CVP</t>
  </si>
  <si>
    <t xml:space="preserve">Annual units </t>
  </si>
  <si>
    <t>Scenario List</t>
  </si>
  <si>
    <t>Scenario</t>
  </si>
  <si>
    <t>Base Case</t>
  </si>
  <si>
    <t>Shipping Cost / Unit (Input from Member 3 logistics)</t>
  </si>
  <si>
    <t>If you do not see the arrow: click the cell (B3), then press Alt + Down Arrow.</t>
  </si>
  <si>
    <t>Annual Fixed Costs (placeholder)</t>
  </si>
  <si>
    <t>Downside Case</t>
  </si>
  <si>
    <t>Upside Case</t>
  </si>
  <si>
    <t>Pricing Method</t>
  </si>
  <si>
    <t>Cost-Plus</t>
  </si>
  <si>
    <t>Cost-Plus Markup %</t>
  </si>
  <si>
    <t>Pricing Method List</t>
  </si>
  <si>
    <t>Target CM %</t>
  </si>
  <si>
    <t>Target CM%</t>
  </si>
  <si>
    <t>Product</t>
  </si>
  <si>
    <t>Product Mix %</t>
  </si>
  <si>
    <t>Annual Units (Base)</t>
  </si>
  <si>
    <t>BOM Materials / Unit</t>
  </si>
  <si>
    <t>Labor $ / Unit</t>
  </si>
  <si>
    <t>Other Var $ / Unit</t>
  </si>
  <si>
    <t>Shipping $ / Unit</t>
  </si>
  <si>
    <t>Total Var Cost / Unit</t>
  </si>
  <si>
    <t>Price / Unit</t>
  </si>
  <si>
    <t>CM / Unit</t>
  </si>
  <si>
    <t>CM %</t>
  </si>
  <si>
    <t>Adj Units</t>
  </si>
  <si>
    <t>Adj Mat</t>
  </si>
  <si>
    <t>Adj Labor</t>
  </si>
  <si>
    <t>Adj Other</t>
  </si>
  <si>
    <t>Adj Ship</t>
  </si>
  <si>
    <t>Adj VarCost</t>
  </si>
  <si>
    <t>Adj Price</t>
  </si>
  <si>
    <t>Quarter Pipe</t>
  </si>
  <si>
    <t>Bank Ramp</t>
  </si>
  <si>
    <t>Funbox</t>
  </si>
  <si>
    <t>Launch Ramp</t>
  </si>
  <si>
    <t>Skatelite Upgrade</t>
  </si>
  <si>
    <t>Coping Upgrade</t>
  </si>
  <si>
    <t>Scenario Multipliers</t>
  </si>
  <si>
    <t>Driver</t>
  </si>
  <si>
    <t>Selected Multipliers</t>
  </si>
  <si>
    <t>Units</t>
  </si>
  <si>
    <t>Units Mult</t>
  </si>
  <si>
    <t>Materials</t>
  </si>
  <si>
    <t>Materials Mult</t>
  </si>
  <si>
    <t>Labor</t>
  </si>
  <si>
    <t>Labor Mult</t>
  </si>
  <si>
    <t>Shipping</t>
  </si>
  <si>
    <t>Shipping Mult</t>
  </si>
  <si>
    <t>Other Var</t>
  </si>
  <si>
    <t>Other Var Mult</t>
  </si>
  <si>
    <t>Labor Rates</t>
  </si>
  <si>
    <t>Role</t>
  </si>
  <si>
    <t>Direct or Indirect</t>
  </si>
  <si>
    <t>Fixed or Variable</t>
  </si>
  <si>
    <t>Hourly Rate $</t>
  </si>
  <si>
    <t>Annual Hours</t>
  </si>
  <si>
    <t>Annual Cost $</t>
  </si>
  <si>
    <t>Reference (hourly rate)</t>
  </si>
  <si>
    <t>General Manager</t>
  </si>
  <si>
    <t>Indirect</t>
  </si>
  <si>
    <t>Fixed</t>
  </si>
  <si>
    <t>https://www.glassdoor.com/Salaries/san-diego-general-and-operations-manager-salary-SRCH_IL.0,9_IC1147311_KO10,40.htm</t>
  </si>
  <si>
    <t>Production Lead</t>
  </si>
  <si>
    <t>Direct</t>
  </si>
  <si>
    <t>Variable</t>
  </si>
  <si>
    <t>https://www.indeed.com/career/production-lead/salaries/San-Diego--CA</t>
  </si>
  <si>
    <t>Production Specialist 1</t>
  </si>
  <si>
    <t>https://www.indeed.com/career/production-specialist/salaries/San-Diego--CA?from=top_sb</t>
  </si>
  <si>
    <t>Production Specialist 2</t>
  </si>
  <si>
    <t>Procurement &amp; Inventory Coordinator</t>
  </si>
  <si>
    <t>https://www.indeed.com/career/inventory-manager/salaries/San-Diego--CA</t>
  </si>
  <si>
    <t>Accounting &amp; Admin Manager</t>
  </si>
  <si>
    <t>https://www.indeed.com/career/account-manager/salaries/San-Diego--CA</t>
  </si>
  <si>
    <t>Facility Overhead</t>
  </si>
  <si>
    <t>Item</t>
  </si>
  <si>
    <t>Value</t>
  </si>
  <si>
    <t>Unit</t>
  </si>
  <si>
    <t>Reference</t>
  </si>
  <si>
    <t>Warehouse sqft</t>
  </si>
  <si>
    <t>sq ft</t>
  </si>
  <si>
    <t>Rent rate per sqft per month</t>
  </si>
  <si>
    <t>$</t>
  </si>
  <si>
    <t>https://www.propertyshark.com/cre/industrial/us/ca/san-diego/</t>
  </si>
  <si>
    <t>Monthly Rent Calculated</t>
  </si>
  <si>
    <t>Annual Rent Calculated</t>
  </si>
  <si>
    <t>Electricity per year</t>
  </si>
  <si>
    <t>https://www.electricitylocal.com/states/california/san-diego/</t>
  </si>
  <si>
    <t>Water per year</t>
  </si>
  <si>
    <t>https://www.sandiego.gov/public-utilities/customer-support/water-billing-rates</t>
  </si>
  <si>
    <t>Insurance per year</t>
  </si>
  <si>
    <t>https://isu-armac.com/california-business-insurance-rates/</t>
  </si>
  <si>
    <t>Internet per year</t>
  </si>
  <si>
    <t>https://latestcost.com/average-cost-of-utilities-in-san-diego/</t>
  </si>
  <si>
    <t xml:space="preserve">Total Utilities </t>
  </si>
  <si>
    <t>Equipment Depreciation per year</t>
  </si>
  <si>
    <t>TOTAL FACILITY OVERHEAD</t>
  </si>
  <si>
    <t>BOM Level</t>
  </si>
  <si>
    <t>Description</t>
  </si>
  <si>
    <t>Qty</t>
  </si>
  <si>
    <t>UoM</t>
  </si>
  <si>
    <t>Unit Cost</t>
  </si>
  <si>
    <t>Total Cost</t>
  </si>
  <si>
    <t>ea</t>
  </si>
  <si>
    <t>Material Required</t>
  </si>
  <si>
    <t>3/4" 4x8 sheet plywood</t>
  </si>
  <si>
    <t>https://www.homedepot.com/p/ULTRASTOCK-3-4-in-x-4-ft-x-8-ft-MDF-Panel-D11612490970000/304325742</t>
  </si>
  <si>
    <t>3/8" 4x8 sheets plywood</t>
  </si>
  <si>
    <t>https://www.lowes.com/pd/Trubord-Sheathing-3-8-CAT-PS2-10-OSB-Sheathing-Application-as-4-x-8/50429972</t>
  </si>
  <si>
    <t>1/4" 4x8 sheets masonite</t>
  </si>
  <si>
    <t>https://www.lowes.com/pd/47-75-in-x-7-98-ft-Smooth-Brown-Wall-Panel/3014304</t>
  </si>
  <si>
    <t>2" steel coping, 8' length</t>
  </si>
  <si>
    <t>https://www.lowes.com/pd/Southland-Pipe-2-in-x-10-ft-150-PSI-Threaded-Both-Ends-Black-Iron-Pipe/1000227935</t>
  </si>
  <si>
    <t>8' 2x4s, douglas fir or hemlock</t>
  </si>
  <si>
    <t>https://www.lowes.com/pd/Sierra-Pacific-2x3-96-in-Multi-Purpose-Stud/5001965717</t>
  </si>
  <si>
    <t>nails (16d GVCH)</t>
  </si>
  <si>
    <t>lb</t>
  </si>
  <si>
    <t>https://www.lowes.com/pd/Grip-Rite-9-Gauge-Hot-Dipped-Galvanized-Steel-Exterior-Joist-Hanger-Nails-1-lb/3043063</t>
  </si>
  <si>
    <t>wood screws</t>
  </si>
  <si>
    <t>https://www.lowes.com/pd/Grip-Rite-9-x-3-in-Gold-Yellow-Zinc-Bugle-Interior-Wood-Screws-1-lb/1000075795</t>
  </si>
  <si>
    <t>Optional Upgrades and Add-Ons</t>
  </si>
  <si>
    <t>Skatelite Pro Natural 4x8'</t>
  </si>
  <si>
    <t>https://www.skatelite.com/skateliteshopall
To replace 4x8 sheet masonite</t>
  </si>
  <si>
    <t>Galvanized steel coping, 8' length</t>
  </si>
  <si>
    <t>https://www.lowes.com/pd/Southland-Pipe-2-in-x-120-in-150-PSI-Threaded-Galvanized-Pipe/5004758569
To replace steel coping</t>
  </si>
  <si>
    <t>Dimensions</t>
  </si>
  <si>
    <t>4' tall, 8' wide, 8' deep</t>
  </si>
  <si>
    <t>Notes</t>
  </si>
  <si>
    <t>8' 2x4, douglas fir or hemlock</t>
  </si>
  <si>
    <t>tube, construction grade adhesive and gun</t>
  </si>
  <si>
    <t>https://www.lowes.com/pd/LIQUID-NAILS-Construction-Adhesive/1087175</t>
  </si>
  <si>
    <t>Stainless Steel Schedule 40 Coping, 4' length</t>
  </si>
  <si>
    <t>https://www.lowes.com/pd/Southland-Pipe-1-2-in-x-48-in-150-PSI-Galvanized-Pipe/1000227979</t>
  </si>
  <si>
    <t>3.5' tall, 6' wide, 6' long</t>
  </si>
  <si>
    <t>References</t>
  </si>
  <si>
    <t>1/4" 4x8' sheet plywood</t>
  </si>
  <si>
    <t>https://www.lowes.com/pd/1-4-in-x-4-ft-x-8-ft-Poplar-Sanded-Plywood-Underlayment/50124674</t>
  </si>
  <si>
    <t>3/8" 4x8' sheet plywood</t>
  </si>
  <si>
    <t>1/4" 4x8" sheet masonite</t>
  </si>
  <si>
    <t>https://www.lowes.com/pd/Southland-Pipe-2-in-x-120-in-150-PSI-Threaded-Galvanized-Pipe/5004758569</t>
  </si>
  <si>
    <t>22' x 15.5' footprint</t>
  </si>
  <si>
    <t>3/8" 4x8 sheet plywood</t>
  </si>
  <si>
    <t>1/4" 4x8 sheet masonite</t>
  </si>
  <si>
    <t>Stainless Steel Schedule 40 Coping, 6' length</t>
  </si>
  <si>
    <t>https://www.lowes.com/pd/Southland-Pipe-1-2-in-x-72-in-150-PSI-Galvanized-Pipe/1000228013</t>
  </si>
  <si>
    <t>2' tall, 4' wide, 6' long</t>
  </si>
  <si>
    <t>Support Equipment</t>
  </si>
  <si>
    <t>Circular saw</t>
  </si>
  <si>
    <t>sabersaw</t>
  </si>
  <si>
    <t>power drill</t>
  </si>
  <si>
    <t>tape measure</t>
  </si>
  <si>
    <t>hammer</t>
  </si>
  <si>
    <t>45" speed square</t>
  </si>
  <si>
    <t>framing square</t>
  </si>
  <si>
    <t>combination square</t>
  </si>
  <si>
    <t>adjustable t-bevel</t>
  </si>
  <si>
    <t>3' level</t>
  </si>
  <si>
    <t>line level</t>
  </si>
  <si>
    <t>chalk line</t>
  </si>
  <si>
    <t>cat's paw</t>
  </si>
  <si>
    <t>pry bar/flat bar</t>
  </si>
  <si>
    <t>utility knife</t>
  </si>
  <si>
    <t>3/4" chisel</t>
  </si>
  <si>
    <t>handsaw</t>
  </si>
  <si>
    <t>lumber pencils</t>
  </si>
  <si>
    <t>eye protection (safety glasses)</t>
  </si>
  <si>
    <t>dust masks</t>
  </si>
  <si>
    <t>leather gloves</t>
  </si>
  <si>
    <t>References:</t>
  </si>
  <si>
    <r>
      <rPr>
        <rFont val="Arial"/>
        <color theme="1"/>
        <sz val="10.0"/>
      </rPr>
      <t xml:space="preserve">Thrasher. (2006). </t>
    </r>
    <r>
      <rPr>
        <rFont val="Arial"/>
        <i/>
        <color theme="1"/>
        <sz val="10.0"/>
      </rPr>
      <t xml:space="preserve">How to build skateboard ramps. </t>
    </r>
    <r>
      <rPr>
        <rFont val="Arial"/>
        <color theme="1"/>
        <sz val="10.0"/>
      </rPr>
      <t xml:space="preserve">San Francisco, CA: High Speed Productions, Inc. </t>
    </r>
  </si>
  <si>
    <t>Labor Hours per Unit</t>
  </si>
  <si>
    <t>https://ocramps.com/pages/ramp-design</t>
  </si>
  <si>
    <t>https://freshpark.com/?srsltid=AfmBOoqzJaM0REOpa2TtNkBm2k4Qe-SmalywrtB1lotmsxc-WCOjBw7B</t>
  </si>
  <si>
    <t>https://www.diyskate.com/funbox_01.html</t>
  </si>
  <si>
    <t>https://www.instructables.com/Build-A-Bicycle-Ramp/</t>
  </si>
  <si>
    <t>Accessory 1</t>
  </si>
  <si>
    <t>https://ocramps.com/blogs/builds-installations/skatelite-for-mini-ramp?srsltid=AfmBOoqaMG0osIy1lU7kcw-RCN9E-7YQH-cylBVqkDPaPkl1hVBhon4s</t>
  </si>
  <si>
    <t>Accessory 2</t>
  </si>
  <si>
    <t xml:space="preserve">Equipment </t>
  </si>
  <si>
    <t>Cost</t>
  </si>
  <si>
    <t>Useful years</t>
  </si>
  <si>
    <t>Depreciation</t>
  </si>
  <si>
    <t>Table Saw</t>
  </si>
  <si>
    <t>https://www.homedepot.com/p/RIDGID-15-Amp-10-in-Portable-Corded-Pro-Jobsite-Table-Saw-with-Stand-R4514/309415135</t>
  </si>
  <si>
    <t>https://www.irs.gov/publications/p946</t>
  </si>
  <si>
    <t>Drill Press</t>
  </si>
  <si>
    <t>https://www.harborfreight.com/power-tools/drills-drivers/drill-presses.html</t>
  </si>
  <si>
    <t>Air Compressor</t>
  </si>
  <si>
    <t>https://www.harborfreight.com/6-gallon-150-psi-oil-free-pancake-jobsite-air-compressor-58636.html</t>
  </si>
  <si>
    <t>Belt/Disc Sander</t>
  </si>
  <si>
    <t>https://www.harborfreight.com/4-in-x-36-in-belt-and-6-in-disc-sander-58339.html</t>
  </si>
  <si>
    <t>2 Workbenches</t>
  </si>
  <si>
    <t>https://www.harborfreight.com/60-in-3-drawer-hardwood-workbench-58832.html</t>
  </si>
  <si>
    <t>Material Racks</t>
  </si>
  <si>
    <t>https://www.homedepot.com/pep/Husky-4-Shelf-Metal-Industrial-Duty-Freestanding-Garage-Storage-Shelving-Unit-in-Black-77-in-W-x-72-in-H-x-24-in-D-N2W772472W4B/333882209?source=shoppingads&amp;locale=en-US&amp;fp=ggl&amp;pla=&amp;mtc=SHOPPING-BF-CDP-GGL-D25S-023_016_GARAGE_ORG-NA-NA-NA-PLALIA-D59S-NA-NA-NA-NBR-NA-NA-NEW-FY23_Shopping_JControl24&amp;cm_mmc=SHOPPING-BF-CDP-GGL-D25S-023_016_GARAGE_ORG-NA-NA-NA-PLALIA-D59S-NA-NA-NA-NBR-NA-NA-NEW-FY23_Shopping_JControl24-19829423972-160557736445-2429997739846&amp;gclsrc=aw.ds&amp;gad_source=1&amp;gad_campaignid=19829423972&amp;gbraid=0AAAAADq61UeAk7Wtt7ltQq5N1ocv6SMz5&amp;gclid=Cj0KCQiAuvTJBhCwARIsAL6Demgld95btUpQIL0Pcx90axY4QHFNAf_8AGEn9P_PsGM7M1BQHMEbjIcaAk5gEALw_wcB</t>
  </si>
  <si>
    <t>Pallet Jack</t>
  </si>
  <si>
    <t>https://www.harborfreight.com/25-ton-pallet-jack-58293.html</t>
  </si>
  <si>
    <t>Overhead Rates ABC</t>
  </si>
  <si>
    <t>Metric</t>
  </si>
  <si>
    <t>Facility Overhead Annual</t>
  </si>
  <si>
    <t>$ (link from Facilities Overhead)</t>
  </si>
  <si>
    <t>Total Production Labor Hours Annual</t>
  </si>
  <si>
    <t>hours</t>
  </si>
  <si>
    <t>Facility Overhead Rate per Labor Hour</t>
  </si>
  <si>
    <t>$/labor hour</t>
  </si>
  <si>
    <t xml:space="preserve">Indirect Annual Labor cost </t>
  </si>
  <si>
    <t>$ (from indirect labor salaries)</t>
  </si>
  <si>
    <t>Total Batches Shipped Annual</t>
  </si>
  <si>
    <t>batches (From CVP sheet)</t>
  </si>
  <si>
    <t>Indirect Labor Rate per Batch</t>
  </si>
  <si>
    <t>$/batch</t>
  </si>
  <si>
    <t>ABC allocation</t>
  </si>
  <si>
    <t>Annual Units</t>
  </si>
  <si>
    <t>Batches per Unit</t>
  </si>
  <si>
    <t>Total Labor Hours</t>
  </si>
  <si>
    <t>Total Batches</t>
  </si>
  <si>
    <t>Facility O.H Allocated</t>
  </si>
  <si>
    <t>Indirect O.H Allocated</t>
  </si>
  <si>
    <t>Total Overhead Allocated</t>
  </si>
  <si>
    <t>Total O.H per Unit</t>
  </si>
  <si>
    <t>Monthly FP&amp;A Forecast (Units, Revenue, Variable Cost, Contribution Margin)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</si>
  <si>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</si>
  <si>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</si>
  <si>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</si>
  <si>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</si>
  <si>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</si>
  <si>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</si>
  <si>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</si>
  <si>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</si>
  <si>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</si>
  <si>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</si>
  <si>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</si>
  <si>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</si>
  <si>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Adj Annual Units</t>
  </si>
  <si>
    <t>Adj Var Cost / Unit</t>
  </si>
  <si>
    <t>Revenue</t>
  </si>
  <si>
    <t>Var Cost</t>
  </si>
  <si>
    <t>CM</t>
  </si>
  <si>
    <t>TOTAL</t>
  </si>
  <si>
    <t>Ramp Dimension Weights</t>
  </si>
  <si>
    <t>Ramp</t>
  </si>
  <si>
    <t>Assembled Dimensions</t>
  </si>
  <si>
    <t>Estimated Crate Dimensions</t>
  </si>
  <si>
    <t>Est. Weight (lb)</t>
  </si>
  <si>
    <t>96" x 48" x 20"</t>
  </si>
  <si>
    <t>Weights estimated from BOM level using plywood, 2x4s, fasteners; Funbox assumed multi-pallet shipment.</t>
  </si>
  <si>
    <t>72" x 48" x 18"</t>
  </si>
  <si>
    <t>Two pallets 96" x 48" x 30"</t>
  </si>
  <si>
    <t>72" x 48" x 16"</t>
  </si>
  <si>
    <t>Shipping Zones</t>
  </si>
  <si>
    <t>Zone</t>
  </si>
  <si>
    <t>Distance (mi)</t>
  </si>
  <si>
    <t>Freight Cost per Crate ($)</t>
  </si>
  <si>
    <t>Market Share</t>
  </si>
  <si>
    <t>West (Rockies West)</t>
  </si>
  <si>
    <t>300–1,200</t>
  </si>
  <si>
    <t>South</t>
  </si>
  <si>
    <t>1,200–1,800</t>
  </si>
  <si>
    <t>Midwest</t>
  </si>
  <si>
    <t>1,400–2,100</t>
  </si>
  <si>
    <t>Northeast</t>
  </si>
  <si>
    <t>2,200–2,700</t>
  </si>
  <si>
    <t>Freight allocation</t>
  </si>
  <si>
    <t>Freight Cost ($)</t>
  </si>
  <si>
    <t>Weighted Cost ($)</t>
  </si>
  <si>
    <t>Average Shipping</t>
  </si>
  <si>
    <t>Labels</t>
  </si>
  <si>
    <t>Freight Regions</t>
  </si>
  <si>
    <t>https://www.fedex.com/en-us/shipping/freight.html</t>
  </si>
  <si>
    <t xml:space="preserve">Distance </t>
  </si>
  <si>
    <t>https://www.ups.com/us/en/support/shipping-support/shipping-costs-rates</t>
  </si>
  <si>
    <t>Freight cost per crate</t>
  </si>
  <si>
    <t>https://www.tforcefreight.com/</t>
  </si>
  <si>
    <t xml:space="preserve">Market share </t>
  </si>
  <si>
    <t>https://sfia.org/research/</t>
  </si>
  <si>
    <t>https://www.census.gov/</t>
  </si>
  <si>
    <t>Weighted Freight Calculation</t>
  </si>
  <si>
    <t>https://www.freightwaves.com/</t>
  </si>
  <si>
    <t>Ramp Dimension</t>
  </si>
  <si>
    <t>https://freshpark.com/</t>
  </si>
  <si>
    <t xml:space="preserve">Freight Class guidance </t>
  </si>
  <si>
    <t>https://www.odfl.com/</t>
  </si>
  <si>
    <t>CVP Analysis (Scenario Driven)</t>
  </si>
  <si>
    <t>Annual Fixed Costs</t>
  </si>
  <si>
    <t xml:space="preserve">Total annual units </t>
  </si>
  <si>
    <t>Annual Revenue</t>
  </si>
  <si>
    <t>Annual Variable Cost</t>
  </si>
  <si>
    <t>Annual Contribution Margin</t>
  </si>
  <si>
    <t>Break-even Revenue</t>
  </si>
  <si>
    <t>Break-even Units (Weighted Avg)</t>
  </si>
  <si>
    <t>Variable Cost</t>
  </si>
  <si>
    <t>Total O.H Cost</t>
  </si>
  <si>
    <t>Weighted Avg Price</t>
  </si>
  <si>
    <t>Revenues</t>
  </si>
  <si>
    <t>Profit</t>
  </si>
  <si>
    <t>Products</t>
  </si>
  <si>
    <t>Price/unit</t>
  </si>
  <si>
    <t>Variable Cost/unit</t>
  </si>
  <si>
    <t>C.M/unit</t>
  </si>
  <si>
    <t>Total C.M</t>
  </si>
  <si>
    <t>Traceability Notes</t>
  </si>
  <si>
    <t>BOM materials per unit are pulled from BOM Sheet (2).xlsx totals (Qty × Unit Cost) for each ramp.</t>
  </si>
  <si>
    <t>Shipping cost per unit is an input from Member 3 (logistics model) and is embedded in variable cost.</t>
  </si>
  <si>
    <t>Scenario selector drives multipliers for units, materials, labor, shipping, and other variable costs.</t>
  </si>
  <si>
    <t>Monthly FP&amp;A rolls annual units into equal monthly units (Annual/12). Adjust monthly seasonality if needed.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</si>
</sst>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[$$-409]* #,##0.00_);_([$$-409]* \(#,##0.00\);_([$$-409]* &quot;-&quot;??_);_(@_)"/>
    <numFmt numFmtId="165" formatCode="_([$$-409]* #,##0_);_([$$-409]* \(#,##0\);_([$$-409]* &quot;-&quot;??_);_(@_)"/>
    <numFmt numFmtId="166" formatCode="0.0%"/>
    <numFmt numFmtId="167" formatCode="0.0"/>
    <numFmt numFmtId="168" formatCode="_(&quot;$&quot;* #,##0.00_);_(&quot;$&quot;* \(#,##0.00\);_(&quot;$&quot;* &quot;-&quot;??_);_(@_)"/>
    <numFmt numFmtId="169" formatCode="&quot;$&quot;#,##0"/>
    <numFmt numFmtId="170" formatCode="_(* #,##0.00_);_(* \(#,##0.00\);_(* &quot;-&quot;??_);_(@_)"/>
    <numFmt numFmtId="171" formatCode="\$#,##0"/>
    <numFmt numFmtId="172" formatCode="&quot;$&quot;#,##0.00"/>
  </numFmts>
  <fonts count="18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rgb="FF0000FF"/>
      <name val="Calibri"/>
    </font>
    <font>
      <sz val="11.0"/>
      <color theme="1"/>
      <name val="Calibri"/>
    </font>
    <font>
      <i/>
      <sz val="8.0"/>
      <color rgb="FF555555"/>
      <name val="Calibri"/>
    </font>
    <font>
      <b/>
      <sz val="11.0"/>
      <color rgb="FFFFFFFF"/>
      <name val="Calibri"/>
    </font>
    <font>
      <sz val="11.0"/>
      <color rgb="FF008000"/>
      <name val="Calibri"/>
    </font>
    <font>
      <b/>
      <sz val="12.0"/>
      <color theme="1"/>
      <name val="Calibri"/>
    </font>
    <font>
      <u/>
      <sz val="11.0"/>
      <color theme="10"/>
      <name val="Calibri"/>
    </font>
    <font>
      <sz val="10.0"/>
      <color theme="1"/>
      <name val="Calibri"/>
    </font>
    <font>
      <b/>
      <sz val="10.0"/>
      <color theme="1"/>
      <name val="Calibri"/>
    </font>
    <font/>
    <font>
      <u/>
      <sz val="10.0"/>
      <color rgb="FF0000FF"/>
      <name val="Arial"/>
    </font>
    <font>
      <u/>
      <sz val="10.0"/>
      <color rgb="FF000000"/>
      <name val="Arial"/>
    </font>
    <font>
      <u/>
      <sz val="11.0"/>
      <color rgb="FF0000FF"/>
      <name val="Calibri"/>
    </font>
    <font>
      <color theme="1"/>
      <name val="Calibri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23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medium">
        <color rgb="FF808080"/>
      </left>
      <right style="medium">
        <color rgb="FF808080"/>
      </right>
      <bottom style="medium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 style="thin">
        <color rgb="FF808080"/>
      </left>
      <right/>
      <top style="thin">
        <color rgb="FF80808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3" numFmtId="0" xfId="0" applyBorder="1" applyFill="1" applyFont="1"/>
    <xf borderId="0" fillId="0" fontId="3" numFmtId="164" xfId="0" applyFont="1" applyNumberFormat="1"/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3" numFmtId="165" xfId="0" applyFont="1" applyNumberFormat="1"/>
    <xf borderId="0" fillId="0" fontId="3" numFmtId="166" xfId="0" applyFont="1" applyNumberFormat="1"/>
    <xf borderId="2" fillId="3" fontId="6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2" fillId="4" fontId="2" numFmtId="0" xfId="0" applyBorder="1" applyFill="1" applyFont="1"/>
    <xf borderId="2" fillId="0" fontId="4" numFmtId="0" xfId="0" applyBorder="1" applyFont="1"/>
    <xf borderId="4" fillId="0" fontId="3" numFmtId="10" xfId="0" applyAlignment="1" applyBorder="1" applyFont="1" applyNumberFormat="1">
      <alignment horizontal="right" shrinkToFit="0" wrapText="1"/>
    </xf>
    <xf borderId="2" fillId="0" fontId="3" numFmtId="0" xfId="0" applyBorder="1" applyFont="1"/>
    <xf borderId="2" fillId="0" fontId="7" numFmtId="164" xfId="0" applyBorder="1" applyFont="1" applyNumberFormat="1"/>
    <xf borderId="2" fillId="0" fontId="3" numFmtId="164" xfId="0" applyBorder="1" applyFont="1" applyNumberFormat="1"/>
    <xf borderId="2" fillId="0" fontId="4" numFmtId="164" xfId="0" applyBorder="1" applyFont="1" applyNumberFormat="1"/>
    <xf borderId="2" fillId="0" fontId="4" numFmtId="1" xfId="0" applyBorder="1" applyFont="1" applyNumberFormat="1"/>
    <xf borderId="2" fillId="0" fontId="4" numFmtId="166" xfId="0" applyBorder="1" applyFont="1" applyNumberFormat="1"/>
    <xf borderId="2" fillId="0" fontId="7" numFmtId="0" xfId="0" applyBorder="1" applyFont="1"/>
    <xf borderId="0" fillId="0" fontId="8" numFmtId="0" xfId="0" applyFont="1"/>
    <xf borderId="2" fillId="0" fontId="2" numFmtId="0" xfId="0" applyBorder="1" applyFont="1"/>
    <xf borderId="2" fillId="0" fontId="4" numFmtId="2" xfId="0" applyBorder="1" applyFont="1" applyNumberFormat="1"/>
    <xf borderId="0" fillId="0" fontId="7" numFmtId="2" xfId="0" applyFont="1" applyNumberFormat="1"/>
    <xf borderId="0" fillId="0" fontId="4" numFmtId="2" xfId="0" applyFont="1" applyNumberFormat="1"/>
    <xf borderId="5" fillId="4" fontId="2" numFmtId="0" xfId="0" applyBorder="1" applyFont="1"/>
    <xf borderId="6" fillId="4" fontId="2" numFmtId="0" xfId="0" applyBorder="1" applyFont="1"/>
    <xf borderId="7" fillId="4" fontId="2" numFmtId="0" xfId="0" applyBorder="1" applyFont="1"/>
    <xf borderId="7" fillId="0" fontId="4" numFmtId="0" xfId="0" applyBorder="1" applyFont="1"/>
    <xf borderId="8" fillId="0" fontId="4" numFmtId="0" xfId="0" applyBorder="1" applyFont="1"/>
    <xf borderId="7" fillId="0" fontId="4" numFmtId="0" xfId="0" applyAlignment="1" applyBorder="1" applyFont="1">
      <alignment horizontal="center" shrinkToFit="0" wrapText="0"/>
    </xf>
    <xf borderId="7" fillId="0" fontId="4" numFmtId="167" xfId="0" applyAlignment="1" applyBorder="1" applyFont="1" applyNumberFormat="1">
      <alignment horizont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readingOrder="1"/>
    </xf>
    <xf borderId="7" fillId="0" fontId="9" numFmtId="0" xfId="0" applyAlignment="1" applyBorder="1" applyFont="1">
      <alignment horizontal="center" readingOrder="1" shrinkToFit="0" wrapText="0"/>
    </xf>
    <xf borderId="7" fillId="0" fontId="4" numFmtId="0" xfId="0" applyAlignment="1" applyBorder="1" applyFont="1">
      <alignment horizontal="center" readingOrder="1" shrinkToFit="0" wrapText="0"/>
    </xf>
    <xf borderId="7" fillId="0" fontId="2" numFmtId="167" xfId="0" applyAlignment="1" applyBorder="1" applyFont="1" applyNumberFormat="1">
      <alignment horizontal="center"/>
    </xf>
    <xf borderId="7" fillId="0" fontId="4" numFmtId="1" xfId="0" applyAlignment="1" applyBorder="1" applyFont="1" applyNumberFormat="1">
      <alignment horizontal="center"/>
    </xf>
    <xf borderId="7" fillId="0" fontId="2" numFmtId="1" xfId="0" applyAlignment="1" applyBorder="1" applyFont="1" applyNumberFormat="1">
      <alignment horizontal="center"/>
    </xf>
    <xf borderId="7" fillId="0" fontId="10" numFmtId="0" xfId="0" applyAlignment="1" applyBorder="1" applyFont="1">
      <alignment horizontal="center"/>
    </xf>
    <xf borderId="7" fillId="0" fontId="10" numFmtId="0" xfId="0" applyBorder="1" applyFont="1"/>
    <xf borderId="7" fillId="0" fontId="4" numFmtId="168" xfId="0" applyBorder="1" applyFont="1" applyNumberFormat="1"/>
    <xf borderId="8" fillId="0" fontId="11" numFmtId="0" xfId="0" applyAlignment="1" applyBorder="1" applyFont="1">
      <alignment horizontal="center"/>
    </xf>
    <xf borderId="9" fillId="0" fontId="12" numFmtId="0" xfId="0" applyBorder="1" applyFont="1"/>
    <xf borderId="10" fillId="0" fontId="12" numFmtId="0" xfId="0" applyBorder="1" applyFont="1"/>
    <xf borderId="7" fillId="0" fontId="10" numFmtId="168" xfId="0" applyBorder="1" applyFont="1" applyNumberFormat="1"/>
    <xf borderId="7" fillId="0" fontId="13" numFmtId="0" xfId="0" applyAlignment="1" applyBorder="1" applyFont="1">
      <alignment horizontal="center" shrinkToFit="0" wrapText="0"/>
    </xf>
    <xf borderId="7" fillId="0" fontId="10" numFmtId="0" xfId="0" applyAlignment="1" applyBorder="1" applyFont="1">
      <alignment horizontal="center" vertical="top"/>
    </xf>
    <xf borderId="7" fillId="0" fontId="10" numFmtId="0" xfId="0" applyAlignment="1" applyBorder="1" applyFont="1">
      <alignment vertical="top"/>
    </xf>
    <xf borderId="7" fillId="0" fontId="10" numFmtId="168" xfId="0" applyAlignment="1" applyBorder="1" applyFont="1" applyNumberFormat="1">
      <alignment vertical="top"/>
    </xf>
    <xf borderId="7" fillId="0" fontId="10" numFmtId="0" xfId="0" applyAlignment="1" applyBorder="1" applyFont="1">
      <alignment horizontal="center" shrinkToFit="0" vertical="top" wrapText="0"/>
    </xf>
    <xf borderId="11" fillId="0" fontId="10" numFmtId="0" xfId="0" applyBorder="1" applyFont="1"/>
    <xf borderId="12" fillId="0" fontId="10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11" numFmtId="0" xfId="0" applyBorder="1" applyFont="1"/>
    <xf borderId="15" fillId="0" fontId="10" numFmtId="0" xfId="0" applyBorder="1" applyFont="1"/>
    <xf borderId="15" fillId="0" fontId="4" numFmtId="0" xfId="0" applyBorder="1" applyFont="1"/>
    <xf borderId="16" fillId="0" fontId="4" numFmtId="0" xfId="0" applyBorder="1" applyFont="1"/>
    <xf borderId="7" fillId="0" fontId="10" numFmtId="0" xfId="0" applyAlignment="1" applyBorder="1" applyFont="1">
      <alignment horizontal="center" shrinkToFit="0" wrapText="0"/>
    </xf>
    <xf borderId="11" fillId="0" fontId="4" numFmtId="0" xfId="0" applyBorder="1" applyFont="1"/>
    <xf borderId="12" fillId="0" fontId="10" numFmtId="0" xfId="0" applyAlignment="1" applyBorder="1" applyFont="1">
      <alignment horizontal="center"/>
    </xf>
    <xf borderId="12" fillId="0" fontId="10" numFmtId="168" xfId="0" applyBorder="1" applyFont="1" applyNumberFormat="1"/>
    <xf borderId="15" fillId="0" fontId="10" numFmtId="0" xfId="0" applyAlignment="1" applyBorder="1" applyFont="1">
      <alignment horizontal="center"/>
    </xf>
    <xf borderId="15" fillId="0" fontId="10" numFmtId="168" xfId="0" applyBorder="1" applyFont="1" applyNumberFormat="1"/>
    <xf borderId="0" fillId="0" fontId="10" numFmtId="0" xfId="0" applyFont="1"/>
    <xf borderId="7" fillId="0" fontId="14" numFmtId="0" xfId="0" applyAlignment="1" applyBorder="1" applyFont="1">
      <alignment horizontal="center" shrinkToFit="0" wrapText="0"/>
    </xf>
    <xf borderId="17" fillId="0" fontId="10" numFmtId="0" xfId="0" applyBorder="1" applyFont="1"/>
    <xf borderId="18" fillId="0" fontId="10" numFmtId="0" xfId="0" applyBorder="1" applyFont="1"/>
    <xf borderId="18" fillId="0" fontId="4" numFmtId="0" xfId="0" applyBorder="1" applyFont="1"/>
    <xf borderId="18" fillId="0" fontId="11" numFmtId="0" xfId="0" applyBorder="1" applyFont="1"/>
    <xf borderId="19" fillId="0" fontId="10" numFmtId="0" xfId="0" applyAlignment="1" applyBorder="1" applyFont="1">
      <alignment horizontal="center"/>
    </xf>
    <xf borderId="7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7" fillId="0" fontId="4" numFmtId="0" xfId="0" applyAlignment="1" applyBorder="1" applyFont="1">
      <alignment horizontal="left"/>
    </xf>
    <xf borderId="7" fillId="0" fontId="4" numFmtId="169" xfId="0" applyAlignment="1" applyBorder="1" applyFont="1" applyNumberFormat="1">
      <alignment horizontal="center"/>
    </xf>
    <xf borderId="7" fillId="0" fontId="15" numFmtId="0" xfId="0" applyBorder="1" applyFont="1"/>
    <xf borderId="7" fillId="0" fontId="4" numFmtId="167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left" vertical="top"/>
    </xf>
    <xf borderId="7" fillId="0" fontId="4" numFmtId="0" xfId="0" applyAlignment="1" applyBorder="1" applyFont="1">
      <alignment horizontal="center" vertical="center"/>
    </xf>
    <xf borderId="7" fillId="0" fontId="4" numFmtId="1" xfId="0" applyAlignment="1" applyBorder="1" applyFont="1" applyNumberFormat="1">
      <alignment horizontal="center" vertical="center"/>
    </xf>
    <xf borderId="7" fillId="0" fontId="4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Font="1"/>
    <xf borderId="20" fillId="4" fontId="2" numFmtId="0" xfId="0" applyAlignment="1" applyBorder="1" applyFont="1">
      <alignment horizontal="center"/>
    </xf>
    <xf borderId="21" fillId="0" fontId="12" numFmtId="0" xfId="0" applyBorder="1" applyFont="1"/>
    <xf borderId="22" fillId="0" fontId="12" numFmtId="0" xfId="0" applyBorder="1" applyFont="1"/>
    <xf borderId="2" fillId="3" fontId="6" numFmtId="0" xfId="0" applyBorder="1" applyFont="1"/>
    <xf borderId="2" fillId="3" fontId="6" numFmtId="170" xfId="0" applyBorder="1" applyFont="1" applyNumberFormat="1"/>
    <xf borderId="2" fillId="0" fontId="7" numFmtId="170" xfId="0" applyBorder="1" applyFont="1" applyNumberFormat="1"/>
    <xf borderId="2" fillId="0" fontId="4" numFmtId="170" xfId="0" applyBorder="1" applyFont="1" applyNumberFormat="1"/>
    <xf borderId="2" fillId="0" fontId="2" numFmtId="170" xfId="0" applyBorder="1" applyFont="1" applyNumberFormat="1"/>
    <xf borderId="2" fillId="0" fontId="2" numFmtId="164" xfId="0" applyBorder="1" applyFont="1" applyNumberFormat="1"/>
    <xf borderId="0" fillId="0" fontId="2" numFmtId="0" xfId="0" applyAlignment="1" applyFont="1">
      <alignment shrinkToFit="0" vertical="center" wrapText="1"/>
    </xf>
    <xf borderId="7" fillId="0" fontId="2" numFmtId="0" xfId="0" applyBorder="1" applyFont="1"/>
    <xf borderId="7" fillId="0" fontId="16" numFmtId="0" xfId="0" applyAlignment="1" applyBorder="1" applyFont="1">
      <alignment readingOrder="0"/>
    </xf>
    <xf borderId="7" fillId="0" fontId="17" numFmtId="0" xfId="0" applyAlignment="1" applyBorder="1" applyFont="1">
      <alignment readingOrder="0" shrinkToFit="0" wrapText="0"/>
    </xf>
    <xf borderId="17" fillId="0" fontId="16" numFmtId="0" xfId="0" applyAlignment="1" applyBorder="1" applyFont="1">
      <alignment horizontal="left" readingOrder="0" vertical="center"/>
    </xf>
    <xf borderId="19" fillId="0" fontId="12" numFmtId="0" xfId="0" applyBorder="1" applyFont="1"/>
    <xf borderId="0" fillId="0" fontId="2" numFmtId="0" xfId="0" applyAlignment="1" applyFont="1">
      <alignment horizontal="left"/>
    </xf>
    <xf borderId="0" fillId="0" fontId="4" numFmtId="171" xfId="0" applyFont="1" applyNumberFormat="1"/>
    <xf borderId="0" fillId="0" fontId="4" numFmtId="10" xfId="0" applyFont="1" applyNumberFormat="1"/>
    <xf borderId="0" fillId="0" fontId="4" numFmtId="3" xfId="0" applyFont="1" applyNumberFormat="1"/>
    <xf borderId="0" fillId="0" fontId="4" numFmtId="169" xfId="0" applyFont="1" applyNumberFormat="1"/>
    <xf borderId="0" fillId="0" fontId="4" numFmtId="172" xfId="0" applyFont="1" applyNumberFormat="1"/>
    <xf borderId="7" fillId="4" fontId="2" numFmtId="0" xfId="0" applyAlignment="1" applyBorder="1" applyFont="1">
      <alignment horizontal="left"/>
    </xf>
    <xf borderId="7" fillId="0" fontId="4" numFmtId="171" xfId="0" applyAlignment="1" applyBorder="1" applyFont="1" applyNumberFormat="1">
      <alignment horizontal="center"/>
    </xf>
    <xf borderId="7" fillId="4" fontId="2" numFmtId="0" xfId="0" applyAlignment="1" applyBorder="1" applyFont="1">
      <alignment horizontal="left" readingOrder="0"/>
    </xf>
    <xf borderId="7" fillId="0" fontId="16" numFmtId="0" xfId="0" applyBorder="1" applyFont="1"/>
    <xf borderId="7" fillId="0" fontId="16" numFmtId="1" xfId="0" applyBorder="1" applyFont="1" applyNumberFormat="1"/>
    <xf borderId="0" fillId="0" fontId="16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Cost Volume Profit Graph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Revenues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CVP!$D$21:$D$31</c:f>
            </c:strRef>
          </c:cat>
          <c:val>
            <c:numRef>
              <c:f>CVP!$E$22:$E$31</c:f>
              <c:numCache/>
            </c:numRef>
          </c:val>
          <c:smooth val="0"/>
        </c:ser>
        <c:ser>
          <c:idx val="1"/>
          <c:order val="1"/>
          <c:tx>
            <c:v>Cost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CVP!$D$21:$D$31</c:f>
            </c:strRef>
          </c:cat>
          <c:val>
            <c:numRef>
              <c:f>CVP!$F$22:$F$31</c:f>
              <c:numCache/>
            </c:numRef>
          </c:val>
          <c:smooth val="0"/>
        </c:ser>
        <c:axId val="740663837"/>
        <c:axId val="1478137587"/>
      </c:lineChart>
      <c:catAx>
        <c:axId val="740663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Units</a:t>
                </a:r>
              </a:p>
            </c:rich>
          </c:tx>
          <c:layout>
            <c:manualLayout>
              <c:xMode val="edge"/>
              <c:yMode val="edge"/>
              <c:x val="0.44502897710617434"/>
              <c:y val="0.799844929053502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8137587"/>
      </c:catAx>
      <c:valAx>
        <c:axId val="1478137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066383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Profit-Volume Graph</a:t>
            </a:r>
          </a:p>
        </c:rich>
      </c:tx>
      <c:overlay val="0"/>
    </c:title>
    <c:plotArea>
      <c:layout/>
      <c:areaChart>
        <c:ser>
          <c:idx val="0"/>
          <c:order val="0"/>
          <c:tx>
            <c:v>Profit</c:v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CVP!$G$22:$G$30</c:f>
              <c:numCache/>
            </c:numRef>
          </c:val>
        </c:ser>
        <c:axId val="970475793"/>
        <c:axId val="728242803"/>
      </c:areaChart>
      <c:catAx>
        <c:axId val="970475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Total Revenues</a:t>
                </a:r>
              </a:p>
            </c:rich>
          </c:tx>
          <c:layout>
            <c:manualLayout>
              <c:xMode val="edge"/>
              <c:yMode val="edge"/>
              <c:x val="0.42523952549772115"/>
              <c:y val="0.9023823358512493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8242803"/>
      </c:catAx>
      <c:valAx>
        <c:axId val="728242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Profit / loss</a:t>
                </a:r>
              </a:p>
            </c:rich>
          </c:tx>
          <c:layout>
            <c:manualLayout>
              <c:xMode val="edge"/>
              <c:yMode val="edge"/>
              <c:x val="0.019339115634641687"/>
              <c:y val="0.404465334644549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047579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Product Mix Chart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CVP!$G$42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CVP!$B$43:$B$48</c:f>
            </c:strRef>
          </c:cat>
          <c:val>
            <c:numRef>
              <c:f>CVP!$G$43:$G$48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438150</xdr:colOff>
      <xdr:row>1</xdr:row>
      <xdr:rowOff>152400</xdr:rowOff>
    </xdr:from>
    <xdr:ext cx="4333875" cy="3009900"/>
    <xdr:graphicFrame>
      <xdr:nvGraphicFramePr>
        <xdr:cNvPr id="163336110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209550</xdr:colOff>
      <xdr:row>21</xdr:row>
      <xdr:rowOff>19050</xdr:rowOff>
    </xdr:from>
    <xdr:ext cx="5867400" cy="2809875"/>
    <xdr:graphicFrame>
      <xdr:nvGraphicFramePr>
        <xdr:cNvPr id="162523078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447675</xdr:colOff>
      <xdr:row>41</xdr:row>
      <xdr:rowOff>19050</xdr:rowOff>
    </xdr:from>
    <xdr:ext cx="5715000" cy="3533775"/>
    <xdr:graphicFrame>
      <xdr:nvGraphicFramePr>
        <xdr:cNvPr id="100381155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rs.gov/publications/p946" TargetMode="External"/><Relationship Id="rId20" Type="http://schemas.openxmlformats.org/officeDocument/2006/relationships/hyperlink" Target="https://www.lowes.com/pd/Trubord-Sheathing-3-8-CAT-PS2-10-OSB-Sheathing-Application-as-4-x-8/50429972" TargetMode="External"/><Relationship Id="rId42" Type="http://schemas.openxmlformats.org/officeDocument/2006/relationships/hyperlink" Target="https://www.irs.gov/publications/p946" TargetMode="External"/><Relationship Id="rId41" Type="http://schemas.openxmlformats.org/officeDocument/2006/relationships/hyperlink" Target="https://www.harborfreight.com/60-in-3-drawer-hardwood-workbench-58832.html" TargetMode="External"/><Relationship Id="rId22" Type="http://schemas.openxmlformats.org/officeDocument/2006/relationships/hyperlink" Target="https://www.lowes.com/pd/Sierra-Pacific-2x3-96-in-Multi-Purpose-Stud/5001965717" TargetMode="External"/><Relationship Id="rId44" Type="http://schemas.openxmlformats.org/officeDocument/2006/relationships/hyperlink" Target="https://www.irs.gov/publications/p946" TargetMode="External"/><Relationship Id="rId21" Type="http://schemas.openxmlformats.org/officeDocument/2006/relationships/hyperlink" Target="https://www.lowes.com/pd/47-75-in-x-7-98-ft-Smooth-Brown-Wall-Panel/3014304" TargetMode="External"/><Relationship Id="rId43" Type="http://schemas.openxmlformats.org/officeDocument/2006/relationships/hyperlink" Target="https://www.homedepot.com/pep/Husky-4-Shelf-Metal-Industrial-Duty-Freestanding-Garage-Storage-Shelving-Unit-in-Black-77-in-W-x-72-in-H-x-24-in-D-N2W772472W4B/333882209?source=shoppingads&amp;locale=en-US&amp;fp=ggl&amp;pla=&amp;mtc=SHOPPING-BF-CDP-GGL-D25S-023_016_GARAGE_ORG-NA-NA-NA-PLALIA-D59S-NA-NA-NA-NBR-NA-NA-NEW-FY23_Shopping_JControl24&amp;cm_mmc=SHOPPING-BF-CDP-GGL-D25S-023_016_GARAGE_ORG-NA-NA-NA-PLALIA-D59S-NA-NA-NA-NBR-NA-NA-NEW-FY23_Shopping_JControl24-19829423972-160557736445-2429997739846&amp;gclsrc=aw.ds&amp;gad_source=1&amp;gad_campaignid=19829423972&amp;gbraid=0AAAAADq61UeAk7Wtt7ltQq5N1ocv6SMz5&amp;gclid=Cj0KCQiAuvTJBhCwARIsAL6Demgld95btUpQIL0Pcx90axY4QHFNAf_8AGEn9P_PsGM7M1BQHMEbjIcaAk5gEALw_wcB" TargetMode="External"/><Relationship Id="rId24" Type="http://schemas.openxmlformats.org/officeDocument/2006/relationships/hyperlink" Target="https://www.lowes.com/pd/Grip-Rite-9-x-3-in-Gold-Yellow-Zinc-Bugle-Interior-Wood-Screws-1-lb/1000075795" TargetMode="External"/><Relationship Id="rId46" Type="http://schemas.openxmlformats.org/officeDocument/2006/relationships/hyperlink" Target="https://www.irs.gov/publications/p946" TargetMode="External"/><Relationship Id="rId23" Type="http://schemas.openxmlformats.org/officeDocument/2006/relationships/hyperlink" Target="https://www.lowes.com/pd/Grip-Rite-9-Gauge-Hot-Dipped-Galvanized-Steel-Exterior-Joist-Hanger-Nails-1-lb/3043063" TargetMode="External"/><Relationship Id="rId45" Type="http://schemas.openxmlformats.org/officeDocument/2006/relationships/hyperlink" Target="https://www.harborfreight.com/25-ton-pallet-jack-58293.html" TargetMode="External"/><Relationship Id="rId1" Type="http://schemas.openxmlformats.org/officeDocument/2006/relationships/hyperlink" Target="https://www.propertyshark.com/cre/industrial/us/ca/san-diego/" TargetMode="External"/><Relationship Id="rId2" Type="http://schemas.openxmlformats.org/officeDocument/2006/relationships/hyperlink" Target="https://www.electricitylocal.com/states/california/san-diego/" TargetMode="External"/><Relationship Id="rId3" Type="http://schemas.openxmlformats.org/officeDocument/2006/relationships/hyperlink" Target="https://www.sandiego.gov/public-utilities/customer-support/water-billing-rates" TargetMode="External"/><Relationship Id="rId4" Type="http://schemas.openxmlformats.org/officeDocument/2006/relationships/hyperlink" Target="https://isu-armac.com/california-business-insurance-rates/" TargetMode="External"/><Relationship Id="rId9" Type="http://schemas.openxmlformats.org/officeDocument/2006/relationships/hyperlink" Target="https://www.lowes.com/pd/Sierra-Pacific-2x3-96-in-Multi-Purpose-Stud/5001965717" TargetMode="External"/><Relationship Id="rId26" Type="http://schemas.openxmlformats.org/officeDocument/2006/relationships/hyperlink" Target="https://www.homedepot.com/p/ULTRASTOCK-3-4-in-x-4-ft-x-8-ft-MDF-Panel-D11612490970000/304325742" TargetMode="External"/><Relationship Id="rId25" Type="http://schemas.openxmlformats.org/officeDocument/2006/relationships/hyperlink" Target="https://www.lowes.com/pd/Southland-Pipe-2-in-x-120-in-150-PSI-Threaded-Galvanized-Pipe/5004758569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www.lowes.com/pd/47-75-in-x-7-98-ft-Smooth-Brown-Wall-Panel/3014304" TargetMode="External"/><Relationship Id="rId27" Type="http://schemas.openxmlformats.org/officeDocument/2006/relationships/hyperlink" Target="https://www.lowes.com/pd/Trubord-Sheathing-3-8-CAT-PS2-10-OSB-Sheathing-Application-as-4-x-8/50429972" TargetMode="External"/><Relationship Id="rId5" Type="http://schemas.openxmlformats.org/officeDocument/2006/relationships/hyperlink" Target="https://www.homedepot.com/p/ULTRASTOCK-3-4-in-x-4-ft-x-8-ft-MDF-Panel-D11612490970000/304325742" TargetMode="External"/><Relationship Id="rId6" Type="http://schemas.openxmlformats.org/officeDocument/2006/relationships/hyperlink" Target="https://www.lowes.com/pd/Trubord-Sheathing-3-8-CAT-PS2-10-OSB-Sheathing-Application-as-4-x-8/50429972" TargetMode="External"/><Relationship Id="rId29" Type="http://schemas.openxmlformats.org/officeDocument/2006/relationships/hyperlink" Target="https://www.lowes.com/pd/Sierra-Pacific-2x3-96-in-Multi-Purpose-Stud/5001965717" TargetMode="External"/><Relationship Id="rId7" Type="http://schemas.openxmlformats.org/officeDocument/2006/relationships/hyperlink" Target="https://www.lowes.com/pd/47-75-in-x-7-98-ft-Smooth-Brown-Wall-Panel/3014304" TargetMode="External"/><Relationship Id="rId8" Type="http://schemas.openxmlformats.org/officeDocument/2006/relationships/hyperlink" Target="https://www.lowes.com/pd/Southland-Pipe-2-in-x-10-ft-150-PSI-Threaded-Both-Ends-Black-Iron-Pipe/1000227935" TargetMode="External"/><Relationship Id="rId31" Type="http://schemas.openxmlformats.org/officeDocument/2006/relationships/hyperlink" Target="https://www.lowes.com/pd/Grip-Rite-9-x-3-in-Gold-Yellow-Zinc-Bugle-Interior-Wood-Screws-1-lb/1000075795" TargetMode="External"/><Relationship Id="rId30" Type="http://schemas.openxmlformats.org/officeDocument/2006/relationships/hyperlink" Target="https://www.lowes.com/pd/Grip-Rite-9-Gauge-Hot-Dipped-Galvanized-Steel-Exterior-Joist-Hanger-Nails-1-lb/3043063" TargetMode="External"/><Relationship Id="rId11" Type="http://schemas.openxmlformats.org/officeDocument/2006/relationships/hyperlink" Target="https://www.lowes.com/pd/Grip-Rite-9-x-3-in-Gold-Yellow-Zinc-Bugle-Interior-Wood-Screws-1-lb/1000075795" TargetMode="External"/><Relationship Id="rId33" Type="http://schemas.openxmlformats.org/officeDocument/2006/relationships/hyperlink" Target="https://www.homedepot.com/p/RIDGID-15-Amp-10-in-Portable-Corded-Pro-Jobsite-Table-Saw-with-Stand-R4514/309415135" TargetMode="External"/><Relationship Id="rId10" Type="http://schemas.openxmlformats.org/officeDocument/2006/relationships/hyperlink" Target="https://www.lowes.com/pd/Grip-Rite-9-Gauge-Hot-Dipped-Galvanized-Steel-Exterior-Joist-Hanger-Nails-1-lb/3043063" TargetMode="External"/><Relationship Id="rId32" Type="http://schemas.openxmlformats.org/officeDocument/2006/relationships/hyperlink" Target="https://www.lowes.com/pd/Southland-Pipe-1-2-in-x-72-in-150-PSI-Galvanized-Pipe/1000228013" TargetMode="External"/><Relationship Id="rId13" Type="http://schemas.openxmlformats.org/officeDocument/2006/relationships/hyperlink" Target="https://www.lowes.com/pd/47-75-in-x-7-98-ft-Smooth-Brown-Wall-Panel/3014304" TargetMode="External"/><Relationship Id="rId35" Type="http://schemas.openxmlformats.org/officeDocument/2006/relationships/hyperlink" Target="https://www.harborfreight.com/power-tools/drills-drivers/drill-presses.html" TargetMode="External"/><Relationship Id="rId12" Type="http://schemas.openxmlformats.org/officeDocument/2006/relationships/hyperlink" Target="https://www.homedepot.com/p/ULTRASTOCK-3-4-in-x-4-ft-x-8-ft-MDF-Panel-D11612490970000/304325742" TargetMode="External"/><Relationship Id="rId34" Type="http://schemas.openxmlformats.org/officeDocument/2006/relationships/hyperlink" Target="https://www.irs.gov/publications/p946" TargetMode="External"/><Relationship Id="rId15" Type="http://schemas.openxmlformats.org/officeDocument/2006/relationships/hyperlink" Target="https://www.lowes.com/pd/LIQUID-NAILS-Construction-Adhesive/1087175" TargetMode="External"/><Relationship Id="rId37" Type="http://schemas.openxmlformats.org/officeDocument/2006/relationships/hyperlink" Target="https://www.harborfreight.com/6-gallon-150-psi-oil-free-pancake-jobsite-air-compressor-58636.html" TargetMode="External"/><Relationship Id="rId14" Type="http://schemas.openxmlformats.org/officeDocument/2006/relationships/hyperlink" Target="https://www.lowes.com/pd/Sierra-Pacific-2x3-96-in-Multi-Purpose-Stud/5001965717" TargetMode="External"/><Relationship Id="rId36" Type="http://schemas.openxmlformats.org/officeDocument/2006/relationships/hyperlink" Target="https://www.irs.gov/publications/p946" TargetMode="External"/><Relationship Id="rId17" Type="http://schemas.openxmlformats.org/officeDocument/2006/relationships/hyperlink" Target="https://www.lowes.com/pd/Grip-Rite-9-x-3-in-Gold-Yellow-Zinc-Bugle-Interior-Wood-Screws-1-lb/1000075795" TargetMode="External"/><Relationship Id="rId39" Type="http://schemas.openxmlformats.org/officeDocument/2006/relationships/hyperlink" Target="https://www.harborfreight.com/4-in-x-36-in-belt-and-6-in-disc-sander-58339.html" TargetMode="External"/><Relationship Id="rId16" Type="http://schemas.openxmlformats.org/officeDocument/2006/relationships/hyperlink" Target="https://www.lowes.com/pd/Grip-Rite-9-Gauge-Hot-Dipped-Galvanized-Steel-Exterior-Joist-Hanger-Nails-1-lb/3043063" TargetMode="External"/><Relationship Id="rId38" Type="http://schemas.openxmlformats.org/officeDocument/2006/relationships/hyperlink" Target="https://www.irs.gov/publications/p946" TargetMode="External"/><Relationship Id="rId19" Type="http://schemas.openxmlformats.org/officeDocument/2006/relationships/hyperlink" Target="https://www.lowes.com/pd/1-4-in-x-4-ft-x-8-ft-Poplar-Sanded-Plywood-Underlayment/50124674" TargetMode="External"/><Relationship Id="rId18" Type="http://schemas.openxmlformats.org/officeDocument/2006/relationships/hyperlink" Target="https://www.lowes.com/pd/Southland-Pipe-1-2-in-x-48-in-150-PSI-Galvanized-Pipe/100022797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x.com/en-us/shipping/freight.html" TargetMode="External"/><Relationship Id="rId2" Type="http://schemas.openxmlformats.org/officeDocument/2006/relationships/hyperlink" Target="https://www.ups.com/us/en/support/shipping-support/shipping-costs-rates" TargetMode="External"/><Relationship Id="rId3" Type="http://schemas.openxmlformats.org/officeDocument/2006/relationships/hyperlink" Target="https://www.tforcefreight.com/" TargetMode="External"/><Relationship Id="rId4" Type="http://schemas.openxmlformats.org/officeDocument/2006/relationships/hyperlink" Target="https://sfia.org/research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census.gov/" TargetMode="External"/><Relationship Id="rId6" Type="http://schemas.openxmlformats.org/officeDocument/2006/relationships/hyperlink" Target="https://www.freightwaves.com/" TargetMode="External"/><Relationship Id="rId7" Type="http://schemas.openxmlformats.org/officeDocument/2006/relationships/hyperlink" Target="https://freshpark.com/" TargetMode="External"/><Relationship Id="rId8" Type="http://schemas.openxmlformats.org/officeDocument/2006/relationships/hyperlink" Target="https://www.odfl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3.43"/>
    <col customWidth="1" min="2" max="2" width="34.86"/>
    <col customWidth="1" min="3" max="3" width="19.29"/>
    <col customWidth="1" min="4" max="4" width="15.57"/>
    <col customWidth="1" min="5" max="5" width="14.0"/>
    <col customWidth="1" min="6" max="6" width="12.43"/>
    <col customWidth="1" min="7" max="7" width="20.29"/>
    <col customWidth="1" min="8" max="8" width="12.0"/>
    <col customWidth="1" min="9" max="9" width="11.57"/>
    <col customWidth="1" min="10" max="10" width="10.0"/>
    <col customWidth="1" min="11" max="26" width="8.71"/>
  </cols>
  <sheetData>
    <row r="1" ht="14.25" customHeight="1">
      <c r="A1" s="1" t="s">
        <v>0</v>
      </c>
    </row>
    <row r="2" ht="14.25" customHeight="1">
      <c r="D2" s="2" t="s">
        <v>1</v>
      </c>
      <c r="E2" s="3">
        <v>1240.0</v>
      </c>
      <c r="H2" s="2" t="s">
        <v>2</v>
      </c>
    </row>
    <row r="3" ht="14.25" customHeight="1">
      <c r="A3" s="2" t="s">
        <v>3</v>
      </c>
      <c r="B3" s="4" t="s">
        <v>4</v>
      </c>
      <c r="D3" s="2" t="s">
        <v>5</v>
      </c>
      <c r="E3" s="5">
        <v>91.0</v>
      </c>
      <c r="H3" s="6" t="s">
        <v>4</v>
      </c>
    </row>
    <row r="4" ht="14.25" customHeight="1">
      <c r="A4" s="7" t="s">
        <v>6</v>
      </c>
      <c r="D4" s="2" t="s">
        <v>7</v>
      </c>
      <c r="E4" s="8">
        <f>SUM(F28,F33,B47)</f>
        <v>225192.5429</v>
      </c>
      <c r="H4" s="6" t="s">
        <v>8</v>
      </c>
    </row>
    <row r="5" ht="14.25" customHeight="1">
      <c r="H5" s="6" t="s">
        <v>9</v>
      </c>
    </row>
    <row r="6" ht="14.25" customHeight="1">
      <c r="D6" s="2" t="s">
        <v>10</v>
      </c>
      <c r="E6" s="4" t="s">
        <v>11</v>
      </c>
    </row>
    <row r="7" ht="14.25" customHeight="1">
      <c r="D7" s="2" t="s">
        <v>12</v>
      </c>
      <c r="E7" s="9">
        <v>0.4</v>
      </c>
      <c r="H7" s="2" t="s">
        <v>13</v>
      </c>
    </row>
    <row r="8" ht="14.25" customHeight="1">
      <c r="D8" s="2" t="s">
        <v>14</v>
      </c>
      <c r="E8" s="9">
        <v>0.3</v>
      </c>
      <c r="H8" s="6" t="s">
        <v>11</v>
      </c>
    </row>
    <row r="9" ht="14.25" customHeight="1">
      <c r="H9" s="6" t="s">
        <v>15</v>
      </c>
    </row>
    <row r="10" ht="14.25" customHeight="1">
      <c r="A10" s="10" t="s">
        <v>16</v>
      </c>
      <c r="B10" s="11" t="s">
        <v>17</v>
      </c>
      <c r="C10" s="10" t="s">
        <v>18</v>
      </c>
      <c r="D10" s="10" t="s">
        <v>19</v>
      </c>
      <c r="E10" s="10" t="s">
        <v>20</v>
      </c>
      <c r="F10" s="10" t="s">
        <v>21</v>
      </c>
      <c r="G10" s="10" t="s">
        <v>22</v>
      </c>
      <c r="H10" s="10" t="s">
        <v>23</v>
      </c>
      <c r="I10" s="10" t="s">
        <v>24</v>
      </c>
      <c r="J10" s="10" t="s">
        <v>25</v>
      </c>
      <c r="K10" s="10" t="s">
        <v>26</v>
      </c>
      <c r="M10" s="12" t="s">
        <v>27</v>
      </c>
      <c r="N10" s="12" t="s">
        <v>28</v>
      </c>
      <c r="O10" s="12" t="s">
        <v>29</v>
      </c>
      <c r="P10" s="12" t="s">
        <v>30</v>
      </c>
      <c r="Q10" s="12" t="s">
        <v>31</v>
      </c>
      <c r="R10" s="12" t="s">
        <v>32</v>
      </c>
      <c r="S10" s="12" t="s">
        <v>33</v>
      </c>
    </row>
    <row r="11" ht="14.25" customHeight="1">
      <c r="A11" s="13" t="s">
        <v>34</v>
      </c>
      <c r="B11" s="14">
        <v>0.2</v>
      </c>
      <c r="C11" s="15">
        <f t="shared" ref="C11:C16" si="1">B11*$E$2</f>
        <v>248</v>
      </c>
      <c r="D11" s="16">
        <f>F52</f>
        <v>336.52</v>
      </c>
      <c r="E11" s="17">
        <f t="shared" ref="E11:E16" si="2">AVERAGE($D$29:$D$31)*B147</f>
        <v>50.66666667</v>
      </c>
      <c r="F11" s="17">
        <v>0.0</v>
      </c>
      <c r="G11" s="16">
        <f t="shared" ref="G11:G16" si="3">$E$3</f>
        <v>91</v>
      </c>
      <c r="H11" s="18">
        <f t="shared" ref="H11:H16" si="4">D11+E11+F11+G11</f>
        <v>478.1866667</v>
      </c>
      <c r="I11" s="19">
        <f t="shared" ref="I11:I16" si="5">IF($E$6="Cost-Plus",H11*(1+$E$7),H11/(1-$E$8))</f>
        <v>669.4613333</v>
      </c>
      <c r="J11" s="19">
        <f t="shared" ref="J11:J16" si="6">I11-H11</f>
        <v>191.2746667</v>
      </c>
      <c r="K11" s="20">
        <f t="shared" ref="K11:K16" si="7">IF(I11=0,0,J11/I11)</f>
        <v>0.2857142857</v>
      </c>
      <c r="M11" s="21">
        <f t="shared" ref="M11:M16" si="8">C11*$F$20</f>
        <v>248</v>
      </c>
      <c r="N11" s="16">
        <f t="shared" ref="N11:N16" si="9">D11*$F$21</f>
        <v>336.52</v>
      </c>
      <c r="O11" s="21">
        <f t="shared" ref="O11:O16" si="10">E11*$F$22</f>
        <v>50.66666667</v>
      </c>
      <c r="P11" s="21">
        <f t="shared" ref="P11:P16" si="11">F11*$F$24</f>
        <v>0</v>
      </c>
      <c r="Q11" s="21">
        <f t="shared" ref="Q11:Q16" si="12">$E$3*$F$23</f>
        <v>91</v>
      </c>
      <c r="R11" s="16">
        <f t="shared" ref="R11:R16" si="13">N11+O11+P11+Q11</f>
        <v>478.1866667</v>
      </c>
      <c r="S11" s="21">
        <f t="shared" ref="S11:S16" si="14">IF($E$6="Cost-Plus",R11*(1+$E$7),R11/(1-$E$8))</f>
        <v>669.4613333</v>
      </c>
    </row>
    <row r="12" ht="14.25" customHeight="1">
      <c r="A12" s="13" t="s">
        <v>35</v>
      </c>
      <c r="B12" s="14">
        <v>0.2</v>
      </c>
      <c r="C12" s="15">
        <f t="shared" si="1"/>
        <v>248</v>
      </c>
      <c r="D12" s="16">
        <f>F69</f>
        <v>246.22</v>
      </c>
      <c r="E12" s="17">
        <f t="shared" si="2"/>
        <v>76</v>
      </c>
      <c r="F12" s="17">
        <v>0.0</v>
      </c>
      <c r="G12" s="16">
        <f t="shared" si="3"/>
        <v>91</v>
      </c>
      <c r="H12" s="18">
        <f t="shared" si="4"/>
        <v>413.22</v>
      </c>
      <c r="I12" s="19">
        <f t="shared" si="5"/>
        <v>578.508</v>
      </c>
      <c r="J12" s="19">
        <f t="shared" si="6"/>
        <v>165.288</v>
      </c>
      <c r="K12" s="20">
        <f t="shared" si="7"/>
        <v>0.2857142857</v>
      </c>
      <c r="M12" s="21">
        <f t="shared" si="8"/>
        <v>248</v>
      </c>
      <c r="N12" s="21">
        <f t="shared" si="9"/>
        <v>246.22</v>
      </c>
      <c r="O12" s="21">
        <f t="shared" si="10"/>
        <v>76</v>
      </c>
      <c r="P12" s="21">
        <f t="shared" si="11"/>
        <v>0</v>
      </c>
      <c r="Q12" s="21">
        <f t="shared" si="12"/>
        <v>91</v>
      </c>
      <c r="R12" s="21">
        <f t="shared" si="13"/>
        <v>413.22</v>
      </c>
      <c r="S12" s="21">
        <f t="shared" si="14"/>
        <v>578.508</v>
      </c>
    </row>
    <row r="13" ht="14.25" customHeight="1">
      <c r="A13" s="13" t="s">
        <v>36</v>
      </c>
      <c r="B13" s="14">
        <v>0.25</v>
      </c>
      <c r="C13" s="15">
        <f t="shared" si="1"/>
        <v>310</v>
      </c>
      <c r="D13" s="16">
        <f>F86</f>
        <v>1725.14</v>
      </c>
      <c r="E13" s="17">
        <f t="shared" si="2"/>
        <v>152</v>
      </c>
      <c r="F13" s="17">
        <v>0.0</v>
      </c>
      <c r="G13" s="16">
        <f t="shared" si="3"/>
        <v>91</v>
      </c>
      <c r="H13" s="18">
        <f t="shared" si="4"/>
        <v>1968.14</v>
      </c>
      <c r="I13" s="19">
        <f t="shared" si="5"/>
        <v>2755.396</v>
      </c>
      <c r="J13" s="19">
        <f t="shared" si="6"/>
        <v>787.256</v>
      </c>
      <c r="K13" s="20">
        <f t="shared" si="7"/>
        <v>0.2857142857</v>
      </c>
      <c r="M13" s="21">
        <f t="shared" si="8"/>
        <v>310</v>
      </c>
      <c r="N13" s="21">
        <f t="shared" si="9"/>
        <v>1725.14</v>
      </c>
      <c r="O13" s="21">
        <f t="shared" si="10"/>
        <v>152</v>
      </c>
      <c r="P13" s="21">
        <f t="shared" si="11"/>
        <v>0</v>
      </c>
      <c r="Q13" s="21">
        <f t="shared" si="12"/>
        <v>91</v>
      </c>
      <c r="R13" s="21">
        <f t="shared" si="13"/>
        <v>1968.14</v>
      </c>
      <c r="S13" s="21">
        <f t="shared" si="14"/>
        <v>2755.396</v>
      </c>
    </row>
    <row r="14" ht="14.25" customHeight="1">
      <c r="A14" s="13" t="s">
        <v>37</v>
      </c>
      <c r="B14" s="14">
        <v>0.1</v>
      </c>
      <c r="C14" s="15">
        <f t="shared" si="1"/>
        <v>124</v>
      </c>
      <c r="D14" s="16">
        <f>F102</f>
        <v>162.73</v>
      </c>
      <c r="E14" s="17">
        <f t="shared" si="2"/>
        <v>101.3333333</v>
      </c>
      <c r="F14" s="17">
        <v>0.0</v>
      </c>
      <c r="G14" s="16">
        <f t="shared" si="3"/>
        <v>91</v>
      </c>
      <c r="H14" s="18">
        <f t="shared" si="4"/>
        <v>355.0633333</v>
      </c>
      <c r="I14" s="19">
        <f t="shared" si="5"/>
        <v>497.0886667</v>
      </c>
      <c r="J14" s="19">
        <f t="shared" si="6"/>
        <v>142.0253333</v>
      </c>
      <c r="K14" s="20">
        <f t="shared" si="7"/>
        <v>0.2857142857</v>
      </c>
      <c r="M14" s="21">
        <f t="shared" si="8"/>
        <v>124</v>
      </c>
      <c r="N14" s="21">
        <f t="shared" si="9"/>
        <v>162.73</v>
      </c>
      <c r="O14" s="21">
        <f t="shared" si="10"/>
        <v>101.3333333</v>
      </c>
      <c r="P14" s="21">
        <f t="shared" si="11"/>
        <v>0</v>
      </c>
      <c r="Q14" s="21">
        <f t="shared" si="12"/>
        <v>91</v>
      </c>
      <c r="R14" s="21">
        <f t="shared" si="13"/>
        <v>355.0633333</v>
      </c>
      <c r="S14" s="21">
        <f t="shared" si="14"/>
        <v>497.0886667</v>
      </c>
    </row>
    <row r="15" ht="14.25" customHeight="1">
      <c r="A15" s="13" t="s">
        <v>38</v>
      </c>
      <c r="B15" s="14">
        <v>0.15</v>
      </c>
      <c r="C15" s="15">
        <f t="shared" si="1"/>
        <v>186</v>
      </c>
      <c r="D15" s="16">
        <f t="shared" ref="D15:D16" si="15">SUM(F63,F79,F96,F112)</f>
        <v>3772.13</v>
      </c>
      <c r="E15" s="17">
        <f t="shared" si="2"/>
        <v>12.66666667</v>
      </c>
      <c r="F15" s="17">
        <v>0.0</v>
      </c>
      <c r="G15" s="16">
        <f t="shared" si="3"/>
        <v>91</v>
      </c>
      <c r="H15" s="18">
        <f t="shared" si="4"/>
        <v>3875.796667</v>
      </c>
      <c r="I15" s="19">
        <f t="shared" si="5"/>
        <v>5426.115333</v>
      </c>
      <c r="J15" s="19">
        <f t="shared" si="6"/>
        <v>1550.318667</v>
      </c>
      <c r="K15" s="20">
        <f t="shared" si="7"/>
        <v>0.2857142857</v>
      </c>
      <c r="M15" s="21">
        <f t="shared" si="8"/>
        <v>186</v>
      </c>
      <c r="N15" s="21">
        <f t="shared" si="9"/>
        <v>3772.13</v>
      </c>
      <c r="O15" s="21">
        <f t="shared" si="10"/>
        <v>12.66666667</v>
      </c>
      <c r="P15" s="21">
        <f t="shared" si="11"/>
        <v>0</v>
      </c>
      <c r="Q15" s="21">
        <f t="shared" si="12"/>
        <v>91</v>
      </c>
      <c r="R15" s="21">
        <f t="shared" si="13"/>
        <v>3875.796667</v>
      </c>
      <c r="S15" s="21">
        <f t="shared" si="14"/>
        <v>5426.115333</v>
      </c>
    </row>
    <row r="16" ht="14.25" customHeight="1">
      <c r="A16" s="13" t="s">
        <v>39</v>
      </c>
      <c r="B16" s="14">
        <v>0.1</v>
      </c>
      <c r="C16" s="15">
        <f t="shared" si="1"/>
        <v>124</v>
      </c>
      <c r="D16" s="16">
        <f t="shared" si="15"/>
        <v>262.43</v>
      </c>
      <c r="E16" s="17">
        <f t="shared" si="2"/>
        <v>12.66666667</v>
      </c>
      <c r="F16" s="17">
        <v>0.0</v>
      </c>
      <c r="G16" s="16">
        <f t="shared" si="3"/>
        <v>91</v>
      </c>
      <c r="H16" s="18">
        <f t="shared" si="4"/>
        <v>366.0966667</v>
      </c>
      <c r="I16" s="19">
        <f t="shared" si="5"/>
        <v>512.5353333</v>
      </c>
      <c r="J16" s="19">
        <f t="shared" si="6"/>
        <v>146.4386667</v>
      </c>
      <c r="K16" s="20">
        <f t="shared" si="7"/>
        <v>0.2857142857</v>
      </c>
      <c r="M16" s="21">
        <f t="shared" si="8"/>
        <v>124</v>
      </c>
      <c r="N16" s="21">
        <f t="shared" si="9"/>
        <v>262.43</v>
      </c>
      <c r="O16" s="21">
        <f t="shared" si="10"/>
        <v>12.66666667</v>
      </c>
      <c r="P16" s="21">
        <f t="shared" si="11"/>
        <v>0</v>
      </c>
      <c r="Q16" s="21">
        <f t="shared" si="12"/>
        <v>91</v>
      </c>
      <c r="R16" s="21">
        <f t="shared" si="13"/>
        <v>366.0966667</v>
      </c>
      <c r="S16" s="21">
        <f t="shared" si="14"/>
        <v>512.5353333</v>
      </c>
    </row>
    <row r="17" ht="14.25" customHeight="1"/>
    <row r="18" ht="14.25" customHeight="1">
      <c r="A18" s="22" t="s">
        <v>40</v>
      </c>
    </row>
    <row r="19" ht="14.25" customHeight="1">
      <c r="A19" s="12" t="s">
        <v>41</v>
      </c>
      <c r="B19" s="12" t="s">
        <v>4</v>
      </c>
      <c r="C19" s="12" t="s">
        <v>8</v>
      </c>
      <c r="D19" s="12" t="s">
        <v>9</v>
      </c>
      <c r="E19" s="2" t="s">
        <v>42</v>
      </c>
    </row>
    <row r="20" ht="14.25" customHeight="1">
      <c r="A20" s="23" t="s">
        <v>43</v>
      </c>
      <c r="B20" s="24">
        <v>1.0</v>
      </c>
      <c r="C20" s="24">
        <v>0.8</v>
      </c>
      <c r="D20" s="24">
        <v>1.15</v>
      </c>
      <c r="E20" s="2" t="s">
        <v>44</v>
      </c>
      <c r="F20" s="25">
        <f t="array" ref="F20">INDEX($B$20:$D$20, MATCH($B$3,$B$19:$D$19,0))</f>
        <v>1</v>
      </c>
    </row>
    <row r="21" ht="14.25" customHeight="1">
      <c r="A21" s="23" t="s">
        <v>45</v>
      </c>
      <c r="B21" s="24">
        <v>1.0</v>
      </c>
      <c r="C21" s="24">
        <v>1.1</v>
      </c>
      <c r="D21" s="24">
        <v>0.95</v>
      </c>
      <c r="E21" s="2" t="s">
        <v>46</v>
      </c>
      <c r="F21" s="25">
        <f t="array" ref="F21">INDEX($B$21:$D$21, MATCH($B$3,$B$19:$D$19,0))</f>
        <v>1</v>
      </c>
    </row>
    <row r="22" ht="14.25" customHeight="1">
      <c r="A22" s="23" t="s">
        <v>47</v>
      </c>
      <c r="B22" s="24">
        <v>1.0</v>
      </c>
      <c r="C22" s="24">
        <v>1.1</v>
      </c>
      <c r="D22" s="24">
        <v>0.95</v>
      </c>
      <c r="E22" s="2" t="s">
        <v>48</v>
      </c>
      <c r="F22" s="25">
        <f t="array" ref="F22">INDEX($B$22:$D$22, MATCH($B$3,$B$19:$D$19,0))</f>
        <v>1</v>
      </c>
    </row>
    <row r="23" ht="14.25" customHeight="1">
      <c r="A23" s="23" t="s">
        <v>49</v>
      </c>
      <c r="B23" s="24">
        <v>1.0</v>
      </c>
      <c r="C23" s="24">
        <v>1.15</v>
      </c>
      <c r="D23" s="24">
        <v>0.95</v>
      </c>
      <c r="E23" s="2" t="s">
        <v>50</v>
      </c>
      <c r="F23" s="25">
        <f t="array" ref="F23">INDEX($B$23:$D$23, MATCH($B$3,$B$19:$D$19,0))</f>
        <v>1</v>
      </c>
    </row>
    <row r="24" ht="14.25" customHeight="1">
      <c r="A24" s="23" t="s">
        <v>51</v>
      </c>
      <c r="B24" s="24">
        <v>1.0</v>
      </c>
      <c r="C24" s="24">
        <v>1.05</v>
      </c>
      <c r="D24" s="24">
        <v>0.98</v>
      </c>
      <c r="E24" s="2" t="s">
        <v>52</v>
      </c>
      <c r="F24" s="25">
        <f t="array" ref="F24">INDEX($B$24:$D$24, MATCH($B$3,$B$19:$D$19,0))</f>
        <v>1</v>
      </c>
    </row>
    <row r="25" ht="14.25" customHeight="1">
      <c r="A25" s="2"/>
      <c r="B25" s="26"/>
      <c r="C25" s="26"/>
      <c r="D25" s="26"/>
      <c r="E25" s="2"/>
      <c r="F25" s="25"/>
    </row>
    <row r="26" ht="14.25" customHeight="1">
      <c r="A26" s="2" t="s">
        <v>53</v>
      </c>
      <c r="B26" s="26"/>
      <c r="C26" s="26"/>
      <c r="D26" s="26"/>
      <c r="E26" s="2"/>
      <c r="F26" s="25"/>
    </row>
    <row r="27" ht="14.25" customHeight="1">
      <c r="A27" s="27" t="s">
        <v>54</v>
      </c>
      <c r="B27" s="27" t="s">
        <v>55</v>
      </c>
      <c r="C27" s="27" t="s">
        <v>56</v>
      </c>
      <c r="D27" s="27" t="s">
        <v>57</v>
      </c>
      <c r="E27" s="28" t="s">
        <v>58</v>
      </c>
      <c r="F27" s="29" t="s">
        <v>59</v>
      </c>
      <c r="G27" s="29" t="s">
        <v>60</v>
      </c>
    </row>
    <row r="28" ht="14.25" customHeight="1">
      <c r="A28" s="30" t="s">
        <v>61</v>
      </c>
      <c r="B28" s="30" t="s">
        <v>62</v>
      </c>
      <c r="C28" s="30" t="s">
        <v>63</v>
      </c>
      <c r="D28" s="30">
        <v>48.0</v>
      </c>
      <c r="E28" s="31">
        <v>2080.0</v>
      </c>
      <c r="F28" s="30">
        <f t="shared" ref="F28:F33" si="16">D28*E28</f>
        <v>99840</v>
      </c>
      <c r="G28" s="32" t="s">
        <v>64</v>
      </c>
    </row>
    <row r="29" ht="14.25" customHeight="1">
      <c r="A29" s="30" t="s">
        <v>65</v>
      </c>
      <c r="B29" s="30" t="s">
        <v>66</v>
      </c>
      <c r="C29" s="30" t="s">
        <v>67</v>
      </c>
      <c r="D29" s="30">
        <v>28.0</v>
      </c>
      <c r="E29" s="31">
        <v>2080.0</v>
      </c>
      <c r="F29" s="30">
        <f t="shared" si="16"/>
        <v>58240</v>
      </c>
      <c r="G29" s="32" t="s">
        <v>68</v>
      </c>
    </row>
    <row r="30" ht="14.25" customHeight="1">
      <c r="A30" s="30" t="s">
        <v>69</v>
      </c>
      <c r="B30" s="30" t="s">
        <v>66</v>
      </c>
      <c r="C30" s="30" t="s">
        <v>67</v>
      </c>
      <c r="D30" s="30">
        <v>24.0</v>
      </c>
      <c r="E30" s="31">
        <v>2080.0</v>
      </c>
      <c r="F30" s="30">
        <f t="shared" si="16"/>
        <v>49920</v>
      </c>
      <c r="G30" s="32" t="s">
        <v>70</v>
      </c>
    </row>
    <row r="31" ht="14.25" customHeight="1">
      <c r="A31" s="30" t="s">
        <v>71</v>
      </c>
      <c r="B31" s="30" t="s">
        <v>66</v>
      </c>
      <c r="C31" s="30" t="s">
        <v>67</v>
      </c>
      <c r="D31" s="30">
        <v>24.0</v>
      </c>
      <c r="E31" s="31">
        <v>2080.0</v>
      </c>
      <c r="F31" s="30">
        <f t="shared" si="16"/>
        <v>49920</v>
      </c>
      <c r="G31" s="32" t="s">
        <v>70</v>
      </c>
    </row>
    <row r="32" ht="14.25" customHeight="1">
      <c r="A32" s="30" t="s">
        <v>72</v>
      </c>
      <c r="B32" s="30" t="s">
        <v>62</v>
      </c>
      <c r="C32" s="30" t="s">
        <v>67</v>
      </c>
      <c r="D32" s="30">
        <v>25.0</v>
      </c>
      <c r="E32" s="31">
        <v>2080.0</v>
      </c>
      <c r="F32" s="30">
        <f t="shared" si="16"/>
        <v>52000</v>
      </c>
      <c r="G32" s="32" t="s">
        <v>73</v>
      </c>
    </row>
    <row r="33" ht="14.25" customHeight="1">
      <c r="A33" s="30" t="s">
        <v>74</v>
      </c>
      <c r="B33" s="30" t="s">
        <v>62</v>
      </c>
      <c r="C33" s="30" t="s">
        <v>63</v>
      </c>
      <c r="D33" s="30">
        <v>35.0</v>
      </c>
      <c r="E33" s="31">
        <v>2080.0</v>
      </c>
      <c r="F33" s="30">
        <f t="shared" si="16"/>
        <v>72800</v>
      </c>
      <c r="G33" s="32" t="s">
        <v>75</v>
      </c>
    </row>
    <row r="34" ht="14.25" customHeight="1">
      <c r="A34" s="2"/>
      <c r="B34" s="26"/>
      <c r="C34" s="26"/>
      <c r="D34" s="26"/>
      <c r="E34" s="2"/>
      <c r="F34" s="25"/>
    </row>
    <row r="35" ht="14.25" customHeight="1">
      <c r="A35" s="2" t="s">
        <v>76</v>
      </c>
      <c r="B35" s="26"/>
      <c r="C35" s="26"/>
      <c r="D35" s="26"/>
      <c r="E35" s="2"/>
      <c r="F35" s="25"/>
    </row>
    <row r="36" ht="14.25" customHeight="1">
      <c r="A36" s="27" t="s">
        <v>77</v>
      </c>
      <c r="B36" s="27" t="s">
        <v>78</v>
      </c>
      <c r="C36" s="27" t="s">
        <v>79</v>
      </c>
      <c r="D36" s="27" t="s">
        <v>80</v>
      </c>
      <c r="E36" s="2"/>
      <c r="F36" s="25"/>
    </row>
    <row r="37" ht="14.25" customHeight="1">
      <c r="A37" s="30" t="s">
        <v>81</v>
      </c>
      <c r="B37" s="33">
        <v>2000.0</v>
      </c>
      <c r="C37" s="34" t="s">
        <v>82</v>
      </c>
      <c r="D37" s="35"/>
      <c r="E37" s="2"/>
      <c r="F37" s="25"/>
    </row>
    <row r="38" ht="14.25" customHeight="1">
      <c r="A38" s="30" t="s">
        <v>83</v>
      </c>
      <c r="B38" s="33">
        <v>1.5</v>
      </c>
      <c r="C38" s="34" t="s">
        <v>84</v>
      </c>
      <c r="D38" s="36" t="s">
        <v>85</v>
      </c>
      <c r="E38" s="2"/>
      <c r="F38" s="25"/>
    </row>
    <row r="39" ht="14.25" customHeight="1">
      <c r="A39" s="30" t="s">
        <v>86</v>
      </c>
      <c r="B39" s="33">
        <f>B38*B37</f>
        <v>3000</v>
      </c>
      <c r="C39" s="34" t="s">
        <v>84</v>
      </c>
      <c r="D39" s="37"/>
      <c r="E39" s="2"/>
      <c r="F39" s="25"/>
    </row>
    <row r="40" ht="14.25" customHeight="1">
      <c r="A40" s="30" t="s">
        <v>87</v>
      </c>
      <c r="B40" s="38">
        <f>B39*12</f>
        <v>36000</v>
      </c>
      <c r="C40" s="34" t="s">
        <v>84</v>
      </c>
      <c r="D40" s="37"/>
      <c r="E40" s="2"/>
      <c r="F40" s="25"/>
    </row>
    <row r="41" ht="14.25" customHeight="1">
      <c r="A41" s="30" t="s">
        <v>88</v>
      </c>
      <c r="B41" s="33">
        <f>750*12</f>
        <v>9000</v>
      </c>
      <c r="C41" s="34" t="s">
        <v>84</v>
      </c>
      <c r="D41" s="36" t="s">
        <v>89</v>
      </c>
      <c r="E41" s="2"/>
      <c r="F41" s="25"/>
    </row>
    <row r="42" ht="14.25" customHeight="1">
      <c r="A42" s="30" t="s">
        <v>90</v>
      </c>
      <c r="B42" s="33">
        <f>100*12</f>
        <v>1200</v>
      </c>
      <c r="C42" s="34" t="s">
        <v>84</v>
      </c>
      <c r="D42" s="36" t="s">
        <v>91</v>
      </c>
      <c r="E42" s="2"/>
      <c r="F42" s="25"/>
    </row>
    <row r="43" ht="14.25" customHeight="1">
      <c r="A43" s="30" t="s">
        <v>92</v>
      </c>
      <c r="B43" s="33">
        <f>400*12</f>
        <v>4800</v>
      </c>
      <c r="C43" s="34" t="s">
        <v>84</v>
      </c>
      <c r="D43" s="36" t="s">
        <v>93</v>
      </c>
      <c r="E43" s="2"/>
      <c r="F43" s="25"/>
    </row>
    <row r="44" ht="14.25" customHeight="1">
      <c r="A44" s="30" t="s">
        <v>94</v>
      </c>
      <c r="B44" s="33">
        <f>100*12</f>
        <v>1200</v>
      </c>
      <c r="C44" s="34" t="s">
        <v>84</v>
      </c>
      <c r="D44" s="37" t="s">
        <v>95</v>
      </c>
      <c r="E44" s="2"/>
      <c r="F44" s="25"/>
    </row>
    <row r="45" ht="14.25" customHeight="1">
      <c r="A45" s="30" t="s">
        <v>96</v>
      </c>
      <c r="B45" s="38">
        <f>SUM(B41:B44)</f>
        <v>16200</v>
      </c>
      <c r="C45" s="34" t="s">
        <v>84</v>
      </c>
      <c r="D45" s="35"/>
    </row>
    <row r="46" ht="14.25" customHeight="1">
      <c r="A46" s="30" t="s">
        <v>97</v>
      </c>
      <c r="B46" s="39">
        <f>SUM(F157:F163)</f>
        <v>352.5428571</v>
      </c>
      <c r="C46" s="34" t="s">
        <v>84</v>
      </c>
      <c r="D46" s="35"/>
    </row>
    <row r="47" ht="14.25" customHeight="1">
      <c r="A47" s="30" t="s">
        <v>98</v>
      </c>
      <c r="B47" s="40">
        <f>SUM(B45:B46)+B40</f>
        <v>52552.54286</v>
      </c>
      <c r="C47" s="34" t="s">
        <v>84</v>
      </c>
      <c r="D47" s="35"/>
    </row>
    <row r="48" ht="14.25" customHeight="1"/>
    <row r="49" ht="14.25" customHeight="1"/>
    <row r="50" ht="14.25" customHeight="1"/>
    <row r="51" ht="14.25" customHeight="1">
      <c r="A51" s="29" t="s">
        <v>99</v>
      </c>
      <c r="B51" s="29" t="s">
        <v>100</v>
      </c>
      <c r="C51" s="29" t="s">
        <v>101</v>
      </c>
      <c r="D51" s="29" t="s">
        <v>102</v>
      </c>
      <c r="E51" s="29" t="s">
        <v>103</v>
      </c>
      <c r="F51" s="29" t="s">
        <v>104</v>
      </c>
      <c r="G51" s="29" t="s">
        <v>80</v>
      </c>
    </row>
    <row r="52" ht="14.25" customHeight="1">
      <c r="A52" s="41">
        <v>1.0</v>
      </c>
      <c r="B52" s="42" t="s">
        <v>34</v>
      </c>
      <c r="C52" s="41">
        <v>1.0</v>
      </c>
      <c r="D52" s="41" t="s">
        <v>105</v>
      </c>
      <c r="E52" s="30"/>
      <c r="F52" s="43">
        <f>SUM(F54:F60)</f>
        <v>336.52</v>
      </c>
      <c r="G52" s="30"/>
    </row>
    <row r="53" ht="14.25" customHeight="1">
      <c r="A53" s="44" t="s">
        <v>106</v>
      </c>
      <c r="B53" s="45"/>
      <c r="C53" s="45"/>
      <c r="D53" s="45"/>
      <c r="E53" s="45"/>
      <c r="F53" s="45"/>
      <c r="G53" s="46"/>
    </row>
    <row r="54" ht="14.25" customHeight="1">
      <c r="A54" s="41">
        <v>2.0</v>
      </c>
      <c r="B54" s="42" t="s">
        <v>107</v>
      </c>
      <c r="C54" s="41">
        <v>2.0</v>
      </c>
      <c r="D54" s="41" t="s">
        <v>105</v>
      </c>
      <c r="E54" s="42">
        <v>48.98</v>
      </c>
      <c r="F54" s="47">
        <f t="shared" ref="F54:F60" si="17">C54*E54</f>
        <v>97.96</v>
      </c>
      <c r="G54" s="48" t="s">
        <v>108</v>
      </c>
    </row>
    <row r="55" ht="14.25" customHeight="1">
      <c r="A55" s="41">
        <v>2.0</v>
      </c>
      <c r="B55" s="42" t="s">
        <v>109</v>
      </c>
      <c r="C55" s="41">
        <v>4.0</v>
      </c>
      <c r="D55" s="41" t="s">
        <v>105</v>
      </c>
      <c r="E55" s="42">
        <v>16.15</v>
      </c>
      <c r="F55" s="47">
        <f t="shared" si="17"/>
        <v>64.6</v>
      </c>
      <c r="G55" s="48" t="s">
        <v>110</v>
      </c>
    </row>
    <row r="56" ht="14.25" customHeight="1">
      <c r="A56" s="41">
        <v>2.0</v>
      </c>
      <c r="B56" s="42" t="s">
        <v>111</v>
      </c>
      <c r="C56" s="41">
        <v>2.0</v>
      </c>
      <c r="D56" s="41" t="s">
        <v>105</v>
      </c>
      <c r="E56" s="42">
        <v>14.25</v>
      </c>
      <c r="F56" s="47">
        <f t="shared" si="17"/>
        <v>28.5</v>
      </c>
      <c r="G56" s="48" t="s">
        <v>112</v>
      </c>
    </row>
    <row r="57" ht="14.25" customHeight="1">
      <c r="A57" s="41">
        <v>2.0</v>
      </c>
      <c r="B57" s="42" t="s">
        <v>113</v>
      </c>
      <c r="C57" s="41">
        <v>1.0</v>
      </c>
      <c r="D57" s="41" t="s">
        <v>105</v>
      </c>
      <c r="E57" s="42">
        <v>78.26</v>
      </c>
      <c r="F57" s="47">
        <f t="shared" si="17"/>
        <v>78.26</v>
      </c>
      <c r="G57" s="48" t="s">
        <v>114</v>
      </c>
    </row>
    <row r="58" ht="14.25" customHeight="1">
      <c r="A58" s="41">
        <v>2.0</v>
      </c>
      <c r="B58" s="42" t="s">
        <v>115</v>
      </c>
      <c r="C58" s="41">
        <v>10.0</v>
      </c>
      <c r="D58" s="41" t="s">
        <v>105</v>
      </c>
      <c r="E58" s="42">
        <v>2.98</v>
      </c>
      <c r="F58" s="47">
        <f t="shared" si="17"/>
        <v>29.8</v>
      </c>
      <c r="G58" s="48" t="s">
        <v>116</v>
      </c>
    </row>
    <row r="59" ht="14.25" customHeight="1">
      <c r="A59" s="41">
        <v>2.0</v>
      </c>
      <c r="B59" s="42" t="s">
        <v>117</v>
      </c>
      <c r="C59" s="41">
        <v>2.5</v>
      </c>
      <c r="D59" s="41" t="s">
        <v>118</v>
      </c>
      <c r="E59" s="42">
        <v>4.98</v>
      </c>
      <c r="F59" s="47">
        <f t="shared" si="17"/>
        <v>12.45</v>
      </c>
      <c r="G59" s="48" t="s">
        <v>119</v>
      </c>
    </row>
    <row r="60" ht="14.25" customHeight="1">
      <c r="A60" s="41">
        <v>2.0</v>
      </c>
      <c r="B60" s="42" t="s">
        <v>120</v>
      </c>
      <c r="C60" s="41">
        <v>2.5</v>
      </c>
      <c r="D60" s="41" t="s">
        <v>118</v>
      </c>
      <c r="E60" s="42">
        <v>9.98</v>
      </c>
      <c r="F60" s="47">
        <f t="shared" si="17"/>
        <v>24.95</v>
      </c>
      <c r="G60" s="48" t="s">
        <v>121</v>
      </c>
    </row>
    <row r="61" ht="14.25" customHeight="1">
      <c r="A61" s="30"/>
      <c r="B61" s="30"/>
      <c r="C61" s="30"/>
      <c r="D61" s="30"/>
      <c r="E61" s="30"/>
      <c r="F61" s="47"/>
      <c r="G61" s="34"/>
    </row>
    <row r="62" ht="14.25" customHeight="1">
      <c r="A62" s="44" t="s">
        <v>122</v>
      </c>
      <c r="B62" s="45"/>
      <c r="C62" s="45"/>
      <c r="D62" s="45"/>
      <c r="E62" s="45"/>
      <c r="F62" s="45"/>
      <c r="G62" s="46"/>
    </row>
    <row r="63" ht="14.25" customHeight="1">
      <c r="A63" s="49">
        <v>2.0</v>
      </c>
      <c r="B63" s="50" t="s">
        <v>123</v>
      </c>
      <c r="C63" s="49">
        <v>2.0</v>
      </c>
      <c r="D63" s="49" t="s">
        <v>105</v>
      </c>
      <c r="E63" s="50">
        <v>221.89</v>
      </c>
      <c r="F63" s="51">
        <f t="shared" ref="F63:F64" si="18">C63*E63</f>
        <v>443.78</v>
      </c>
      <c r="G63" s="52" t="s">
        <v>124</v>
      </c>
    </row>
    <row r="64" ht="14.25" customHeight="1">
      <c r="A64" s="49">
        <v>2.0</v>
      </c>
      <c r="B64" s="50" t="s">
        <v>125</v>
      </c>
      <c r="C64" s="49">
        <v>1.0</v>
      </c>
      <c r="D64" s="49" t="s">
        <v>105</v>
      </c>
      <c r="E64" s="50">
        <v>108.73</v>
      </c>
      <c r="F64" s="51">
        <f t="shared" si="18"/>
        <v>108.73</v>
      </c>
      <c r="G64" s="52" t="s">
        <v>126</v>
      </c>
    </row>
    <row r="65" ht="14.25" customHeight="1">
      <c r="A65" s="53"/>
      <c r="B65" s="54"/>
      <c r="C65" s="55"/>
      <c r="D65" s="55"/>
      <c r="E65" s="55"/>
      <c r="F65" s="55"/>
      <c r="G65" s="56"/>
    </row>
    <row r="66" ht="14.25" customHeight="1">
      <c r="A66" s="57" t="s">
        <v>127</v>
      </c>
      <c r="B66" s="58" t="s">
        <v>128</v>
      </c>
      <c r="C66" s="59"/>
      <c r="D66" s="59"/>
      <c r="E66" s="59"/>
      <c r="F66" s="59"/>
      <c r="G66" s="60"/>
    </row>
    <row r="67" ht="14.25" customHeight="1"/>
    <row r="68" ht="14.25" customHeight="1">
      <c r="A68" s="29" t="s">
        <v>99</v>
      </c>
      <c r="B68" s="29" t="s">
        <v>100</v>
      </c>
      <c r="C68" s="29" t="s">
        <v>101</v>
      </c>
      <c r="D68" s="29" t="s">
        <v>102</v>
      </c>
      <c r="E68" s="29" t="s">
        <v>103</v>
      </c>
      <c r="F68" s="29" t="s">
        <v>104</v>
      </c>
      <c r="G68" s="29" t="s">
        <v>129</v>
      </c>
    </row>
    <row r="69" ht="14.25" customHeight="1">
      <c r="A69" s="41">
        <v>1.0</v>
      </c>
      <c r="B69" s="42" t="s">
        <v>35</v>
      </c>
      <c r="C69" s="41">
        <v>1.0</v>
      </c>
      <c r="D69" s="41" t="s">
        <v>105</v>
      </c>
      <c r="E69" s="30"/>
      <c r="F69" s="47">
        <f>SUM(F71:F76)</f>
        <v>246.22</v>
      </c>
      <c r="G69" s="30"/>
    </row>
    <row r="70" ht="14.25" customHeight="1">
      <c r="A70" s="44" t="s">
        <v>106</v>
      </c>
      <c r="B70" s="45"/>
      <c r="C70" s="45"/>
      <c r="D70" s="45"/>
      <c r="E70" s="45"/>
      <c r="F70" s="45"/>
      <c r="G70" s="46"/>
    </row>
    <row r="71" ht="14.25" customHeight="1">
      <c r="A71" s="41">
        <v>2.0</v>
      </c>
      <c r="B71" s="42" t="s">
        <v>107</v>
      </c>
      <c r="C71" s="41">
        <v>3.0</v>
      </c>
      <c r="D71" s="41" t="s">
        <v>105</v>
      </c>
      <c r="E71" s="42">
        <v>48.98</v>
      </c>
      <c r="F71" s="47">
        <f t="shared" ref="F71:F76" si="19">E71*C71</f>
        <v>146.94</v>
      </c>
      <c r="G71" s="48" t="s">
        <v>108</v>
      </c>
    </row>
    <row r="72" ht="14.25" customHeight="1">
      <c r="A72" s="41">
        <v>2.0</v>
      </c>
      <c r="B72" s="42" t="s">
        <v>111</v>
      </c>
      <c r="C72" s="41">
        <v>2.0</v>
      </c>
      <c r="D72" s="41" t="s">
        <v>105</v>
      </c>
      <c r="E72" s="42">
        <v>14.25</v>
      </c>
      <c r="F72" s="47">
        <f t="shared" si="19"/>
        <v>28.5</v>
      </c>
      <c r="G72" s="48" t="s">
        <v>112</v>
      </c>
    </row>
    <row r="73" ht="14.25" customHeight="1">
      <c r="A73" s="41">
        <v>2.0</v>
      </c>
      <c r="B73" s="42" t="s">
        <v>130</v>
      </c>
      <c r="C73" s="41">
        <v>10.0</v>
      </c>
      <c r="D73" s="41" t="s">
        <v>105</v>
      </c>
      <c r="E73" s="42">
        <v>2.98</v>
      </c>
      <c r="F73" s="47">
        <f t="shared" si="19"/>
        <v>29.8</v>
      </c>
      <c r="G73" s="48" t="s">
        <v>116</v>
      </c>
    </row>
    <row r="74" ht="14.25" customHeight="1">
      <c r="A74" s="41">
        <v>2.0</v>
      </c>
      <c r="B74" s="42" t="s">
        <v>131</v>
      </c>
      <c r="C74" s="41">
        <v>1.0</v>
      </c>
      <c r="D74" s="41" t="s">
        <v>105</v>
      </c>
      <c r="E74" s="42">
        <v>3.58</v>
      </c>
      <c r="F74" s="47">
        <f t="shared" si="19"/>
        <v>3.58</v>
      </c>
      <c r="G74" s="48" t="s">
        <v>132</v>
      </c>
    </row>
    <row r="75" ht="14.25" customHeight="1">
      <c r="A75" s="41">
        <v>2.0</v>
      </c>
      <c r="B75" s="42" t="s">
        <v>117</v>
      </c>
      <c r="C75" s="41">
        <v>2.5</v>
      </c>
      <c r="D75" s="41" t="s">
        <v>118</v>
      </c>
      <c r="E75" s="42">
        <v>4.98</v>
      </c>
      <c r="F75" s="47">
        <f t="shared" si="19"/>
        <v>12.45</v>
      </c>
      <c r="G75" s="48" t="s">
        <v>119</v>
      </c>
    </row>
    <row r="76" ht="14.25" customHeight="1">
      <c r="A76" s="41">
        <v>2.0</v>
      </c>
      <c r="B76" s="42" t="s">
        <v>120</v>
      </c>
      <c r="C76" s="41">
        <v>2.5</v>
      </c>
      <c r="D76" s="41" t="s">
        <v>118</v>
      </c>
      <c r="E76" s="42">
        <v>9.98</v>
      </c>
      <c r="F76" s="47">
        <f t="shared" si="19"/>
        <v>24.95</v>
      </c>
      <c r="G76" s="48" t="s">
        <v>121</v>
      </c>
    </row>
    <row r="77" ht="14.25" customHeight="1">
      <c r="A77" s="30"/>
      <c r="B77" s="30"/>
      <c r="C77" s="41"/>
      <c r="D77" s="41"/>
      <c r="E77" s="30"/>
      <c r="F77" s="47"/>
      <c r="G77" s="30"/>
    </row>
    <row r="78" ht="14.25" customHeight="1">
      <c r="A78" s="44" t="s">
        <v>122</v>
      </c>
      <c r="B78" s="45"/>
      <c r="C78" s="45"/>
      <c r="D78" s="45"/>
      <c r="E78" s="45"/>
      <c r="F78" s="45"/>
      <c r="G78" s="46"/>
    </row>
    <row r="79" ht="14.25" customHeight="1">
      <c r="A79" s="49">
        <v>2.0</v>
      </c>
      <c r="B79" s="50" t="s">
        <v>123</v>
      </c>
      <c r="C79" s="49">
        <v>2.0</v>
      </c>
      <c r="D79" s="49" t="s">
        <v>105</v>
      </c>
      <c r="E79" s="50">
        <v>221.89</v>
      </c>
      <c r="F79" s="51">
        <f t="shared" ref="F79:F80" si="20">E79*C79</f>
        <v>443.78</v>
      </c>
      <c r="G79" s="61" t="s">
        <v>124</v>
      </c>
    </row>
    <row r="80" ht="14.25" customHeight="1">
      <c r="A80" s="41">
        <v>2.0</v>
      </c>
      <c r="B80" s="42" t="s">
        <v>133</v>
      </c>
      <c r="C80" s="41">
        <v>1.0</v>
      </c>
      <c r="D80" s="41" t="s">
        <v>105</v>
      </c>
      <c r="E80" s="42">
        <v>20.77</v>
      </c>
      <c r="F80" s="47">
        <f t="shared" si="20"/>
        <v>20.77</v>
      </c>
      <c r="G80" s="48" t="s">
        <v>134</v>
      </c>
    </row>
    <row r="81" ht="14.25" customHeight="1">
      <c r="A81" s="62"/>
      <c r="B81" s="55"/>
      <c r="C81" s="63"/>
      <c r="D81" s="63"/>
      <c r="E81" s="55"/>
      <c r="F81" s="64"/>
      <c r="G81" s="56"/>
    </row>
    <row r="82" ht="14.25" customHeight="1">
      <c r="A82" s="57" t="s">
        <v>127</v>
      </c>
      <c r="B82" s="58" t="s">
        <v>135</v>
      </c>
      <c r="C82" s="65"/>
      <c r="D82" s="65"/>
      <c r="E82" s="59"/>
      <c r="F82" s="66"/>
      <c r="G82" s="60"/>
    </row>
    <row r="83" ht="14.25" customHeight="1"/>
    <row r="84" ht="14.25" customHeight="1"/>
    <row r="85" ht="14.25" customHeight="1">
      <c r="A85" s="29" t="s">
        <v>99</v>
      </c>
      <c r="B85" s="29" t="s">
        <v>100</v>
      </c>
      <c r="C85" s="29" t="s">
        <v>101</v>
      </c>
      <c r="D85" s="29" t="s">
        <v>102</v>
      </c>
      <c r="E85" s="29" t="s">
        <v>103</v>
      </c>
      <c r="F85" s="29" t="s">
        <v>104</v>
      </c>
      <c r="G85" s="29" t="s">
        <v>136</v>
      </c>
    </row>
    <row r="86" ht="14.25" customHeight="1">
      <c r="A86" s="41">
        <v>1.0</v>
      </c>
      <c r="B86" s="42" t="s">
        <v>36</v>
      </c>
      <c r="C86" s="41">
        <v>1.0</v>
      </c>
      <c r="D86" s="41" t="s">
        <v>105</v>
      </c>
      <c r="E86" s="30"/>
      <c r="F86" s="47">
        <f>SUM(F88:F93)</f>
        <v>1725.14</v>
      </c>
      <c r="G86" s="30"/>
    </row>
    <row r="87" ht="14.25" customHeight="1">
      <c r="A87" s="44" t="s">
        <v>106</v>
      </c>
      <c r="B87" s="45"/>
      <c r="C87" s="45"/>
      <c r="D87" s="45"/>
      <c r="E87" s="45"/>
      <c r="F87" s="45"/>
      <c r="G87" s="45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42"/>
      <c r="T87" s="42"/>
      <c r="U87" s="42"/>
      <c r="V87" s="42"/>
      <c r="W87" s="42"/>
      <c r="X87" s="42"/>
      <c r="Y87" s="42"/>
      <c r="Z87" s="42"/>
    </row>
    <row r="88" ht="14.25" customHeight="1">
      <c r="A88" s="41">
        <v>2.0</v>
      </c>
      <c r="B88" s="42" t="s">
        <v>137</v>
      </c>
      <c r="C88" s="41">
        <v>24.0</v>
      </c>
      <c r="D88" s="41" t="s">
        <v>105</v>
      </c>
      <c r="E88" s="42">
        <v>32.98</v>
      </c>
      <c r="F88" s="47">
        <f t="shared" ref="F88:F93" si="21">C88*E88</f>
        <v>791.52</v>
      </c>
      <c r="G88" s="48" t="s">
        <v>138</v>
      </c>
    </row>
    <row r="89" ht="14.25" customHeight="1">
      <c r="A89" s="41">
        <v>2.0</v>
      </c>
      <c r="B89" s="42" t="s">
        <v>139</v>
      </c>
      <c r="C89" s="41">
        <v>24.0</v>
      </c>
      <c r="D89" s="41" t="s">
        <v>105</v>
      </c>
      <c r="E89" s="42">
        <v>16.15</v>
      </c>
      <c r="F89" s="47">
        <f t="shared" si="21"/>
        <v>387.6</v>
      </c>
      <c r="G89" s="48" t="s">
        <v>110</v>
      </c>
    </row>
    <row r="90" ht="14.25" customHeight="1">
      <c r="A90" s="41">
        <v>2.0</v>
      </c>
      <c r="B90" s="42" t="s">
        <v>140</v>
      </c>
      <c r="C90" s="41">
        <v>12.0</v>
      </c>
      <c r="D90" s="41" t="s">
        <v>105</v>
      </c>
      <c r="E90" s="42">
        <v>14.25</v>
      </c>
      <c r="F90" s="47">
        <f t="shared" si="21"/>
        <v>171</v>
      </c>
      <c r="G90" s="48" t="s">
        <v>112</v>
      </c>
    </row>
    <row r="91" ht="14.25" customHeight="1">
      <c r="A91" s="41">
        <v>2.0</v>
      </c>
      <c r="B91" s="42" t="s">
        <v>130</v>
      </c>
      <c r="C91" s="41">
        <v>84.0</v>
      </c>
      <c r="D91" s="41" t="s">
        <v>105</v>
      </c>
      <c r="E91" s="42">
        <v>2.98</v>
      </c>
      <c r="F91" s="47">
        <f t="shared" si="21"/>
        <v>250.32</v>
      </c>
      <c r="G91" s="48" t="s">
        <v>116</v>
      </c>
    </row>
    <row r="92" ht="14.25" customHeight="1">
      <c r="A92" s="41">
        <v>2.0</v>
      </c>
      <c r="B92" s="42" t="s">
        <v>117</v>
      </c>
      <c r="C92" s="41">
        <v>5.0</v>
      </c>
      <c r="D92" s="41" t="s">
        <v>118</v>
      </c>
      <c r="E92" s="42">
        <v>4.98</v>
      </c>
      <c r="F92" s="47">
        <f t="shared" si="21"/>
        <v>24.9</v>
      </c>
      <c r="G92" s="48" t="s">
        <v>119</v>
      </c>
    </row>
    <row r="93" ht="14.25" customHeight="1">
      <c r="A93" s="41">
        <v>2.0</v>
      </c>
      <c r="B93" s="42" t="s">
        <v>120</v>
      </c>
      <c r="C93" s="41">
        <v>10.0</v>
      </c>
      <c r="D93" s="41" t="s">
        <v>118</v>
      </c>
      <c r="E93" s="42">
        <v>9.98</v>
      </c>
      <c r="F93" s="47">
        <f t="shared" si="21"/>
        <v>99.8</v>
      </c>
      <c r="G93" s="48" t="s">
        <v>121</v>
      </c>
    </row>
    <row r="94" ht="14.25" customHeight="1">
      <c r="A94" s="30"/>
      <c r="B94" s="30"/>
      <c r="C94" s="30"/>
      <c r="D94" s="30"/>
      <c r="E94" s="30"/>
      <c r="F94" s="47"/>
      <c r="G94" s="30"/>
    </row>
    <row r="95" ht="14.25" customHeight="1">
      <c r="A95" s="44" t="s">
        <v>122</v>
      </c>
      <c r="B95" s="45"/>
      <c r="C95" s="45"/>
      <c r="D95" s="45"/>
      <c r="E95" s="45"/>
      <c r="F95" s="45"/>
      <c r="G95" s="46"/>
    </row>
    <row r="96" ht="14.25" customHeight="1">
      <c r="A96" s="49">
        <v>2.0</v>
      </c>
      <c r="B96" s="50" t="s">
        <v>123</v>
      </c>
      <c r="C96" s="49">
        <v>12.0</v>
      </c>
      <c r="D96" s="49" t="s">
        <v>105</v>
      </c>
      <c r="E96" s="50">
        <v>221.89</v>
      </c>
      <c r="F96" s="51">
        <f t="shared" ref="F96:F97" si="22">C96*E96</f>
        <v>2662.68</v>
      </c>
      <c r="G96" s="61" t="s">
        <v>124</v>
      </c>
    </row>
    <row r="97" ht="14.25" customHeight="1">
      <c r="A97" s="41">
        <v>2.0</v>
      </c>
      <c r="B97" s="42" t="s">
        <v>125</v>
      </c>
      <c r="C97" s="41">
        <v>1.0</v>
      </c>
      <c r="D97" s="41" t="s">
        <v>105</v>
      </c>
      <c r="E97" s="42">
        <v>108.73</v>
      </c>
      <c r="F97" s="47">
        <f t="shared" si="22"/>
        <v>108.73</v>
      </c>
      <c r="G97" s="68" t="s">
        <v>141</v>
      </c>
    </row>
    <row r="98" ht="14.25" customHeight="1">
      <c r="A98" s="62"/>
      <c r="B98" s="55"/>
      <c r="C98" s="55"/>
      <c r="D98" s="55"/>
      <c r="E98" s="55"/>
      <c r="F98" s="64"/>
      <c r="G98" s="56"/>
    </row>
    <row r="99" ht="14.25" customHeight="1">
      <c r="A99" s="57" t="s">
        <v>127</v>
      </c>
      <c r="B99" s="58" t="s">
        <v>142</v>
      </c>
      <c r="C99" s="59"/>
      <c r="D99" s="59"/>
      <c r="E99" s="59"/>
      <c r="F99" s="66"/>
      <c r="G99" s="60"/>
    </row>
    <row r="100" ht="14.25" customHeight="1"/>
    <row r="101" ht="14.25" customHeight="1">
      <c r="A101" s="29" t="s">
        <v>99</v>
      </c>
      <c r="B101" s="29" t="s">
        <v>100</v>
      </c>
      <c r="C101" s="29" t="s">
        <v>101</v>
      </c>
      <c r="D101" s="29" t="s">
        <v>102</v>
      </c>
      <c r="E101" s="29" t="s">
        <v>103</v>
      </c>
      <c r="F101" s="29" t="s">
        <v>104</v>
      </c>
      <c r="G101" s="29" t="s">
        <v>136</v>
      </c>
    </row>
    <row r="102" ht="14.25" customHeight="1">
      <c r="A102" s="41">
        <v>1.0</v>
      </c>
      <c r="B102" s="42" t="s">
        <v>37</v>
      </c>
      <c r="C102" s="41">
        <v>1.0</v>
      </c>
      <c r="D102" s="41" t="s">
        <v>105</v>
      </c>
      <c r="E102" s="30"/>
      <c r="F102" s="43">
        <f>SUM(F104:F109)</f>
        <v>162.73</v>
      </c>
      <c r="G102" s="30"/>
    </row>
    <row r="103" ht="14.25" customHeight="1">
      <c r="A103" s="44" t="s">
        <v>106</v>
      </c>
      <c r="B103" s="45"/>
      <c r="C103" s="45"/>
      <c r="D103" s="45"/>
      <c r="E103" s="45"/>
      <c r="F103" s="45"/>
      <c r="G103" s="46"/>
    </row>
    <row r="104" ht="14.25" customHeight="1">
      <c r="A104" s="41">
        <v>2.0</v>
      </c>
      <c r="B104" s="42" t="s">
        <v>107</v>
      </c>
      <c r="C104" s="41">
        <v>1.0</v>
      </c>
      <c r="D104" s="41" t="s">
        <v>105</v>
      </c>
      <c r="E104" s="42">
        <v>48.98</v>
      </c>
      <c r="F104" s="47">
        <f t="shared" ref="F104:F109" si="23">C104*E104</f>
        <v>48.98</v>
      </c>
      <c r="G104" s="48" t="s">
        <v>108</v>
      </c>
    </row>
    <row r="105" ht="14.25" customHeight="1">
      <c r="A105" s="41">
        <v>2.0</v>
      </c>
      <c r="B105" s="42" t="s">
        <v>143</v>
      </c>
      <c r="C105" s="41">
        <v>2.0</v>
      </c>
      <c r="D105" s="41" t="s">
        <v>105</v>
      </c>
      <c r="E105" s="42">
        <v>16.15</v>
      </c>
      <c r="F105" s="47">
        <f t="shared" si="23"/>
        <v>32.3</v>
      </c>
      <c r="G105" s="48" t="s">
        <v>110</v>
      </c>
    </row>
    <row r="106" ht="14.25" customHeight="1">
      <c r="A106" s="41">
        <v>2.0</v>
      </c>
      <c r="B106" s="42" t="s">
        <v>144</v>
      </c>
      <c r="C106" s="41">
        <v>1.0</v>
      </c>
      <c r="D106" s="41" t="s">
        <v>105</v>
      </c>
      <c r="E106" s="42">
        <v>14.25</v>
      </c>
      <c r="F106" s="47">
        <f t="shared" si="23"/>
        <v>14.25</v>
      </c>
      <c r="G106" s="48" t="s">
        <v>112</v>
      </c>
    </row>
    <row r="107" ht="14.25" customHeight="1">
      <c r="A107" s="41">
        <v>2.0</v>
      </c>
      <c r="B107" s="42" t="s">
        <v>130</v>
      </c>
      <c r="C107" s="41">
        <v>10.0</v>
      </c>
      <c r="D107" s="41" t="s">
        <v>105</v>
      </c>
      <c r="E107" s="42">
        <v>2.98</v>
      </c>
      <c r="F107" s="47">
        <f t="shared" si="23"/>
        <v>29.8</v>
      </c>
      <c r="G107" s="48" t="s">
        <v>116</v>
      </c>
    </row>
    <row r="108" ht="14.25" customHeight="1">
      <c r="A108" s="41">
        <v>2.0</v>
      </c>
      <c r="B108" s="42" t="s">
        <v>117</v>
      </c>
      <c r="C108" s="41">
        <v>2.5</v>
      </c>
      <c r="D108" s="41" t="s">
        <v>118</v>
      </c>
      <c r="E108" s="42">
        <v>4.98</v>
      </c>
      <c r="F108" s="47">
        <f t="shared" si="23"/>
        <v>12.45</v>
      </c>
      <c r="G108" s="48" t="s">
        <v>119</v>
      </c>
    </row>
    <row r="109" ht="14.25" customHeight="1">
      <c r="A109" s="41">
        <v>2.0</v>
      </c>
      <c r="B109" s="42" t="s">
        <v>120</v>
      </c>
      <c r="C109" s="41">
        <v>2.5</v>
      </c>
      <c r="D109" s="41" t="s">
        <v>118</v>
      </c>
      <c r="E109" s="42">
        <v>9.98</v>
      </c>
      <c r="F109" s="47">
        <f t="shared" si="23"/>
        <v>24.95</v>
      </c>
      <c r="G109" s="48" t="s">
        <v>121</v>
      </c>
    </row>
    <row r="110" ht="14.25" customHeight="1">
      <c r="A110" s="30"/>
      <c r="B110" s="30"/>
      <c r="C110" s="30"/>
      <c r="D110" s="30"/>
      <c r="E110" s="30"/>
      <c r="F110" s="47"/>
      <c r="G110" s="30"/>
    </row>
    <row r="111" ht="14.25" customHeight="1">
      <c r="A111" s="44" t="s">
        <v>122</v>
      </c>
      <c r="B111" s="45"/>
      <c r="C111" s="45"/>
      <c r="D111" s="45"/>
      <c r="E111" s="45"/>
      <c r="F111" s="46"/>
      <c r="G111" s="42"/>
    </row>
    <row r="112" ht="14.25" customHeight="1">
      <c r="A112" s="49">
        <v>2.0</v>
      </c>
      <c r="B112" s="50" t="s">
        <v>123</v>
      </c>
      <c r="C112" s="49">
        <v>1.0</v>
      </c>
      <c r="D112" s="49" t="s">
        <v>105</v>
      </c>
      <c r="E112" s="50">
        <v>221.89</v>
      </c>
      <c r="F112" s="51">
        <f t="shared" ref="F112:F113" si="24">C112*E112</f>
        <v>221.89</v>
      </c>
      <c r="G112" s="52" t="s">
        <v>124</v>
      </c>
    </row>
    <row r="113" ht="14.25" customHeight="1">
      <c r="A113" s="41">
        <v>2.0</v>
      </c>
      <c r="B113" s="42" t="s">
        <v>145</v>
      </c>
      <c r="C113" s="41">
        <v>1.0</v>
      </c>
      <c r="D113" s="41" t="s">
        <v>105</v>
      </c>
      <c r="E113" s="42">
        <v>24.2</v>
      </c>
      <c r="F113" s="47">
        <f t="shared" si="24"/>
        <v>24.2</v>
      </c>
      <c r="G113" s="48" t="s">
        <v>146</v>
      </c>
    </row>
    <row r="114" ht="14.25" customHeight="1">
      <c r="A114" s="62"/>
      <c r="B114" s="55"/>
      <c r="C114" s="55"/>
      <c r="D114" s="55"/>
      <c r="E114" s="55"/>
      <c r="F114" s="55"/>
      <c r="G114" s="56"/>
    </row>
    <row r="115" ht="14.25" customHeight="1">
      <c r="A115" s="57" t="s">
        <v>127</v>
      </c>
      <c r="B115" s="58" t="s">
        <v>147</v>
      </c>
      <c r="C115" s="59"/>
      <c r="D115" s="59"/>
      <c r="E115" s="59"/>
      <c r="F115" s="59"/>
      <c r="G115" s="60"/>
    </row>
    <row r="116" ht="14.25" customHeight="1"/>
    <row r="117" ht="14.25" customHeight="1"/>
    <row r="118" ht="14.25" customHeight="1"/>
    <row r="119" ht="14.25" customHeight="1">
      <c r="A119" s="29" t="s">
        <v>148</v>
      </c>
    </row>
    <row r="120" ht="14.25" customHeight="1">
      <c r="A120" s="69" t="s">
        <v>149</v>
      </c>
    </row>
    <row r="121" ht="14.25" customHeight="1">
      <c r="A121" s="70" t="s">
        <v>150</v>
      </c>
    </row>
    <row r="122" ht="14.25" customHeight="1">
      <c r="A122" s="70" t="s">
        <v>151</v>
      </c>
    </row>
    <row r="123" ht="14.25" customHeight="1">
      <c r="A123" s="70" t="s">
        <v>152</v>
      </c>
    </row>
    <row r="124" ht="14.25" customHeight="1">
      <c r="A124" s="70" t="s">
        <v>153</v>
      </c>
    </row>
    <row r="125" ht="14.25" customHeight="1">
      <c r="A125" s="70" t="s">
        <v>154</v>
      </c>
    </row>
    <row r="126" ht="14.25" customHeight="1">
      <c r="A126" s="70" t="s">
        <v>155</v>
      </c>
    </row>
    <row r="127" ht="14.25" customHeight="1">
      <c r="A127" s="70" t="s">
        <v>156</v>
      </c>
    </row>
    <row r="128" ht="14.25" customHeight="1">
      <c r="A128" s="70" t="s">
        <v>157</v>
      </c>
    </row>
    <row r="129" ht="14.25" customHeight="1">
      <c r="A129" s="70" t="s">
        <v>158</v>
      </c>
    </row>
    <row r="130" ht="14.25" customHeight="1">
      <c r="A130" s="70" t="s">
        <v>159</v>
      </c>
    </row>
    <row r="131" ht="14.25" customHeight="1">
      <c r="A131" s="70" t="s">
        <v>160</v>
      </c>
    </row>
    <row r="132" ht="14.25" customHeight="1">
      <c r="A132" s="70" t="s">
        <v>161</v>
      </c>
    </row>
    <row r="133" ht="14.25" customHeight="1">
      <c r="A133" s="70" t="s">
        <v>162</v>
      </c>
    </row>
    <row r="134" ht="14.25" customHeight="1">
      <c r="A134" s="70" t="s">
        <v>163</v>
      </c>
    </row>
    <row r="135" ht="14.25" customHeight="1">
      <c r="A135" s="70" t="s">
        <v>164</v>
      </c>
    </row>
    <row r="136" ht="14.25" customHeight="1">
      <c r="A136" s="70" t="s">
        <v>165</v>
      </c>
    </row>
    <row r="137" ht="14.25" customHeight="1">
      <c r="A137" s="70" t="s">
        <v>166</v>
      </c>
    </row>
    <row r="138" ht="14.25" customHeight="1">
      <c r="A138" s="70" t="s">
        <v>167</v>
      </c>
    </row>
    <row r="139" ht="14.25" customHeight="1">
      <c r="A139" s="70" t="s">
        <v>168</v>
      </c>
    </row>
    <row r="140" ht="14.25" customHeight="1">
      <c r="A140" s="70" t="s">
        <v>169</v>
      </c>
    </row>
    <row r="141" ht="14.25" customHeight="1">
      <c r="A141" s="71"/>
    </row>
    <row r="142" ht="14.25" customHeight="1">
      <c r="A142" s="72" t="s">
        <v>170</v>
      </c>
    </row>
    <row r="143" ht="14.25" customHeight="1">
      <c r="A143" s="73" t="s">
        <v>171</v>
      </c>
    </row>
    <row r="144" ht="14.25" customHeight="1"/>
    <row r="145" ht="14.25" customHeight="1"/>
    <row r="146" ht="14.25" customHeight="1">
      <c r="A146" s="29" t="s">
        <v>16</v>
      </c>
      <c r="B146" s="29" t="s">
        <v>172</v>
      </c>
      <c r="C146" s="29" t="s">
        <v>80</v>
      </c>
    </row>
    <row r="147" ht="14.25" customHeight="1">
      <c r="A147" s="74" t="s">
        <v>34</v>
      </c>
      <c r="B147" s="75">
        <v>2.0</v>
      </c>
      <c r="C147" s="32" t="s">
        <v>173</v>
      </c>
    </row>
    <row r="148" ht="14.25" customHeight="1">
      <c r="A148" s="74" t="s">
        <v>35</v>
      </c>
      <c r="B148" s="75">
        <v>3.0</v>
      </c>
      <c r="C148" s="32" t="s">
        <v>174</v>
      </c>
    </row>
    <row r="149" ht="14.25" customHeight="1">
      <c r="A149" s="74" t="s">
        <v>36</v>
      </c>
      <c r="B149" s="75">
        <v>6.0</v>
      </c>
      <c r="C149" s="32" t="s">
        <v>175</v>
      </c>
    </row>
    <row r="150" ht="14.25" customHeight="1">
      <c r="A150" s="74" t="s">
        <v>37</v>
      </c>
      <c r="B150" s="75">
        <v>4.0</v>
      </c>
      <c r="C150" s="32" t="s">
        <v>176</v>
      </c>
    </row>
    <row r="151" ht="14.25" customHeight="1">
      <c r="A151" s="74" t="s">
        <v>177</v>
      </c>
      <c r="B151" s="75">
        <v>0.5</v>
      </c>
      <c r="C151" s="32" t="s">
        <v>178</v>
      </c>
    </row>
    <row r="152" ht="14.25" customHeight="1">
      <c r="A152" s="74" t="s">
        <v>179</v>
      </c>
      <c r="B152" s="75">
        <v>0.5</v>
      </c>
      <c r="C152" s="32" t="s">
        <v>178</v>
      </c>
    </row>
    <row r="153" ht="14.25" customHeight="1">
      <c r="A153" s="76"/>
      <c r="B153" s="77"/>
      <c r="C153" s="78"/>
    </row>
    <row r="154" ht="14.25" customHeight="1"/>
    <row r="155" ht="14.25" customHeight="1"/>
    <row r="156" ht="14.25" customHeight="1">
      <c r="A156" s="29" t="s">
        <v>180</v>
      </c>
      <c r="B156" s="29" t="s">
        <v>181</v>
      </c>
      <c r="C156" s="29" t="s">
        <v>80</v>
      </c>
      <c r="D156" s="29" t="s">
        <v>182</v>
      </c>
      <c r="E156" s="29" t="s">
        <v>80</v>
      </c>
      <c r="F156" s="29" t="s">
        <v>183</v>
      </c>
    </row>
    <row r="157" ht="14.25" customHeight="1">
      <c r="A157" s="79" t="s">
        <v>184</v>
      </c>
      <c r="B157" s="80">
        <v>549.0</v>
      </c>
      <c r="C157" s="81" t="s">
        <v>185</v>
      </c>
      <c r="D157" s="34">
        <v>5.0</v>
      </c>
      <c r="E157" s="81" t="s">
        <v>186</v>
      </c>
      <c r="F157" s="39">
        <f t="shared" ref="F157:F163" si="25">B157/D157</f>
        <v>109.8</v>
      </c>
    </row>
    <row r="158" ht="14.25" customHeight="1">
      <c r="A158" s="79" t="s">
        <v>187</v>
      </c>
      <c r="B158" s="80">
        <v>299.0</v>
      </c>
      <c r="C158" s="81" t="s">
        <v>188</v>
      </c>
      <c r="D158" s="34">
        <v>7.0</v>
      </c>
      <c r="E158" s="81" t="s">
        <v>186</v>
      </c>
      <c r="F158" s="39">
        <f t="shared" si="25"/>
        <v>42.71428571</v>
      </c>
    </row>
    <row r="159" ht="14.25" customHeight="1">
      <c r="A159" s="79" t="s">
        <v>189</v>
      </c>
      <c r="B159" s="80">
        <v>129.0</v>
      </c>
      <c r="C159" s="81" t="s">
        <v>190</v>
      </c>
      <c r="D159" s="34">
        <v>5.0</v>
      </c>
      <c r="E159" s="81" t="s">
        <v>186</v>
      </c>
      <c r="F159" s="39">
        <f t="shared" si="25"/>
        <v>25.8</v>
      </c>
    </row>
    <row r="160" ht="14.25" customHeight="1">
      <c r="A160" s="79" t="s">
        <v>191</v>
      </c>
      <c r="B160" s="80">
        <v>109.0</v>
      </c>
      <c r="C160" s="81" t="s">
        <v>192</v>
      </c>
      <c r="D160" s="34">
        <v>5.0</v>
      </c>
      <c r="E160" s="81" t="s">
        <v>186</v>
      </c>
      <c r="F160" s="39">
        <f t="shared" si="25"/>
        <v>21.8</v>
      </c>
    </row>
    <row r="161" ht="14.25" customHeight="1">
      <c r="A161" s="79" t="s">
        <v>193</v>
      </c>
      <c r="B161" s="80">
        <v>320.0</v>
      </c>
      <c r="C161" s="81" t="s">
        <v>194</v>
      </c>
      <c r="D161" s="34">
        <v>5.0</v>
      </c>
      <c r="E161" s="81" t="s">
        <v>186</v>
      </c>
      <c r="F161" s="39">
        <f t="shared" si="25"/>
        <v>64</v>
      </c>
    </row>
    <row r="162" ht="14.25" customHeight="1">
      <c r="A162" s="79" t="s">
        <v>195</v>
      </c>
      <c r="B162" s="80">
        <v>219.0</v>
      </c>
      <c r="C162" s="81" t="s">
        <v>196</v>
      </c>
      <c r="D162" s="34">
        <v>7.0</v>
      </c>
      <c r="E162" s="81" t="s">
        <v>186</v>
      </c>
      <c r="F162" s="39">
        <f t="shared" si="25"/>
        <v>31.28571429</v>
      </c>
    </row>
    <row r="163" ht="14.25" customHeight="1">
      <c r="A163" s="79" t="s">
        <v>197</v>
      </c>
      <c r="B163" s="80">
        <v>400.0</v>
      </c>
      <c r="C163" s="81" t="s">
        <v>198</v>
      </c>
      <c r="D163" s="34">
        <v>7.0</v>
      </c>
      <c r="E163" s="81" t="s">
        <v>186</v>
      </c>
      <c r="F163" s="39">
        <f t="shared" si="25"/>
        <v>57.14285714</v>
      </c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95:G95"/>
    <mergeCell ref="A103:G103"/>
    <mergeCell ref="A111:F111"/>
    <mergeCell ref="A1:K1"/>
    <mergeCell ref="A18:C18"/>
    <mergeCell ref="A53:G53"/>
    <mergeCell ref="A62:G62"/>
    <mergeCell ref="A70:G70"/>
    <mergeCell ref="A78:G78"/>
    <mergeCell ref="A87:G87"/>
  </mergeCells>
  <conditionalFormatting sqref="G28:G33">
    <cfRule type="notContainsBlanks" dxfId="0" priority="1">
      <formula>LEN(TRIM(G28))&gt;0</formula>
    </cfRule>
  </conditionalFormatting>
  <dataValidations>
    <dataValidation type="list" allowBlank="1" sqref="E6">
      <formula1>$H$8:$H$9</formula1>
    </dataValidation>
    <dataValidation type="list" allowBlank="1" sqref="B3">
      <formula1>$H$3:$H$5</formula1>
    </dataValidation>
  </dataValidations>
  <hyperlinks>
    <hyperlink r:id="rId1" ref="D38"/>
    <hyperlink r:id="rId2" ref="D41"/>
    <hyperlink r:id="rId3" ref="D42"/>
    <hyperlink r:id="rId4" ref="D43"/>
    <hyperlink r:id="rId5" ref="G54"/>
    <hyperlink r:id="rId6" ref="G55"/>
    <hyperlink r:id="rId7" ref="G56"/>
    <hyperlink r:id="rId8" ref="G57"/>
    <hyperlink r:id="rId9" ref="G58"/>
    <hyperlink r:id="rId10" ref="G59"/>
    <hyperlink r:id="rId11" ref="G60"/>
    <hyperlink r:id="rId12" ref="G71"/>
    <hyperlink r:id="rId13" ref="G72"/>
    <hyperlink r:id="rId14" ref="G73"/>
    <hyperlink r:id="rId15" ref="G74"/>
    <hyperlink r:id="rId16" ref="G75"/>
    <hyperlink r:id="rId17" ref="G76"/>
    <hyperlink r:id="rId18" ref="G80"/>
    <hyperlink r:id="rId19" ref="G88"/>
    <hyperlink r:id="rId20" ref="G89"/>
    <hyperlink r:id="rId21" ref="G90"/>
    <hyperlink r:id="rId22" ref="G91"/>
    <hyperlink r:id="rId23" ref="G92"/>
    <hyperlink r:id="rId24" ref="G93"/>
    <hyperlink r:id="rId25" ref="G97"/>
    <hyperlink r:id="rId26" ref="G104"/>
    <hyperlink r:id="rId27" ref="G105"/>
    <hyperlink r:id="rId28" ref="G106"/>
    <hyperlink r:id="rId29" ref="G107"/>
    <hyperlink r:id="rId30" ref="G108"/>
    <hyperlink r:id="rId31" ref="G109"/>
    <hyperlink r:id="rId32" ref="G113"/>
    <hyperlink r:id="rId33" ref="C157"/>
    <hyperlink r:id="rId34" ref="E157"/>
    <hyperlink r:id="rId35" ref="C158"/>
    <hyperlink r:id="rId36" ref="E158"/>
    <hyperlink r:id="rId37" ref="C159"/>
    <hyperlink r:id="rId38" ref="E159"/>
    <hyperlink r:id="rId39" ref="C160"/>
    <hyperlink r:id="rId40" ref="E160"/>
    <hyperlink r:id="rId41" ref="C161"/>
    <hyperlink r:id="rId42" ref="E161"/>
    <hyperlink r:id="rId43" ref="C162"/>
    <hyperlink r:id="rId44" ref="E162"/>
    <hyperlink r:id="rId45" ref="C163"/>
    <hyperlink r:id="rId46" ref="E163"/>
  </hyperlinks>
  <printOptions/>
  <pageMargins bottom="0.75" footer="0.0" header="0.0" left="0.7" right="0.7" top="0.75"/>
  <pageSetup orientation="landscape"/>
  <drawing r:id="rId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86"/>
    <col customWidth="1" min="2" max="2" width="12.14"/>
    <col customWidth="1" min="3" max="3" width="27.43"/>
    <col customWidth="1" min="4" max="4" width="14.71"/>
    <col customWidth="1" min="5" max="5" width="15.86"/>
    <col customWidth="1" min="6" max="6" width="12.14"/>
    <col customWidth="1" min="7" max="7" width="24.86"/>
    <col customWidth="1" min="8" max="8" width="21.86"/>
    <col customWidth="1" min="9" max="9" width="23.57"/>
    <col customWidth="1" min="10" max="10" width="17.29"/>
    <col customWidth="1" min="11" max="26" width="8.71"/>
  </cols>
  <sheetData>
    <row r="1" ht="14.25" customHeight="1"/>
    <row r="2" ht="14.25" customHeight="1">
      <c r="A2" s="2" t="s">
        <v>199</v>
      </c>
    </row>
    <row r="3" ht="14.25" customHeight="1">
      <c r="A3" s="27" t="s">
        <v>200</v>
      </c>
      <c r="B3" s="27" t="s">
        <v>78</v>
      </c>
      <c r="C3" s="27" t="s">
        <v>129</v>
      </c>
    </row>
    <row r="4" ht="14.25" customHeight="1">
      <c r="A4" s="30" t="s">
        <v>201</v>
      </c>
      <c r="B4" s="82">
        <f>Assumptions!B47</f>
        <v>52552.54286</v>
      </c>
      <c r="C4" s="83" t="s">
        <v>202</v>
      </c>
    </row>
    <row r="5" ht="14.25" customHeight="1">
      <c r="A5" s="30" t="s">
        <v>203</v>
      </c>
      <c r="B5" s="82">
        <f>SUM(Assumptions!E29:E31)</f>
        <v>6240</v>
      </c>
      <c r="C5" s="83" t="s">
        <v>204</v>
      </c>
    </row>
    <row r="6" ht="14.25" customHeight="1">
      <c r="A6" s="30" t="s">
        <v>205</v>
      </c>
      <c r="B6" s="82">
        <f>B4/B5</f>
        <v>8.421881868</v>
      </c>
      <c r="C6" s="83" t="s">
        <v>206</v>
      </c>
    </row>
    <row r="7" ht="14.25" customHeight="1">
      <c r="A7" s="30" t="s">
        <v>207</v>
      </c>
      <c r="B7" s="82">
        <f>SUM(Assumptions!F32:F33,Assumptions!F28)</f>
        <v>224640</v>
      </c>
      <c r="C7" s="83" t="s">
        <v>208</v>
      </c>
    </row>
    <row r="8" ht="14.25" customHeight="1">
      <c r="A8" s="30" t="s">
        <v>209</v>
      </c>
      <c r="B8" s="82">
        <f>SUM(F14:F19)</f>
        <v>1395</v>
      </c>
      <c r="C8" s="83" t="s">
        <v>210</v>
      </c>
    </row>
    <row r="9" ht="14.25" customHeight="1">
      <c r="A9" s="30" t="s">
        <v>211</v>
      </c>
      <c r="B9" s="82">
        <f>B7/B8</f>
        <v>161.0322581</v>
      </c>
      <c r="C9" s="83" t="s">
        <v>212</v>
      </c>
    </row>
    <row r="10" ht="14.25" customHeight="1"/>
    <row r="11" ht="14.25" customHeight="1"/>
    <row r="12" ht="14.25" customHeight="1">
      <c r="A12" s="2" t="s">
        <v>213</v>
      </c>
    </row>
    <row r="13" ht="14.25" customHeight="1">
      <c r="A13" s="29" t="s">
        <v>16</v>
      </c>
      <c r="B13" s="29" t="s">
        <v>214</v>
      </c>
      <c r="C13" s="29" t="s">
        <v>172</v>
      </c>
      <c r="D13" s="29" t="s">
        <v>215</v>
      </c>
      <c r="E13" s="29" t="s">
        <v>216</v>
      </c>
      <c r="F13" s="29" t="s">
        <v>217</v>
      </c>
      <c r="G13" s="29" t="s">
        <v>218</v>
      </c>
      <c r="H13" s="29" t="s">
        <v>219</v>
      </c>
      <c r="I13" s="29" t="s">
        <v>220</v>
      </c>
      <c r="J13" s="29" t="s">
        <v>221</v>
      </c>
    </row>
    <row r="14" ht="14.25" customHeight="1">
      <c r="A14" s="30" t="s">
        <v>34</v>
      </c>
      <c r="B14" s="84">
        <f>Assumptions!C11</f>
        <v>248</v>
      </c>
      <c r="C14" s="84">
        <f>Assumptions!B147</f>
        <v>2</v>
      </c>
      <c r="D14" s="84">
        <f>Assumptions!C52</f>
        <v>1</v>
      </c>
      <c r="E14" s="84">
        <f t="shared" ref="E14:E19" si="1">B14*C14</f>
        <v>496</v>
      </c>
      <c r="F14" s="84">
        <f t="shared" ref="F14:F19" si="2">B14*D14</f>
        <v>248</v>
      </c>
      <c r="G14" s="85">
        <f t="shared" ref="G14:G19" si="3">E14*$B$6</f>
        <v>4177.253407</v>
      </c>
      <c r="H14" s="85">
        <f t="shared" ref="H14:H19" si="4">F14*$B$9</f>
        <v>39936</v>
      </c>
      <c r="I14" s="85">
        <f t="shared" ref="I14:I19" si="5">G14+H14</f>
        <v>44113.25341</v>
      </c>
      <c r="J14" s="86">
        <f t="shared" ref="J14:J19" si="6">IF(B14=0,0,I14/B14)</f>
        <v>177.8760218</v>
      </c>
    </row>
    <row r="15" ht="14.25" customHeight="1">
      <c r="A15" s="30" t="s">
        <v>35</v>
      </c>
      <c r="B15" s="84">
        <f>Assumptions!C12</f>
        <v>248</v>
      </c>
      <c r="C15" s="84">
        <f>Assumptions!B148</f>
        <v>3</v>
      </c>
      <c r="D15" s="84">
        <f>Assumptions!C69</f>
        <v>1</v>
      </c>
      <c r="E15" s="84">
        <f t="shared" si="1"/>
        <v>744</v>
      </c>
      <c r="F15" s="84">
        <f t="shared" si="2"/>
        <v>248</v>
      </c>
      <c r="G15" s="85">
        <f t="shared" si="3"/>
        <v>6265.88011</v>
      </c>
      <c r="H15" s="85">
        <f t="shared" si="4"/>
        <v>39936</v>
      </c>
      <c r="I15" s="85">
        <f t="shared" si="5"/>
        <v>46201.88011</v>
      </c>
      <c r="J15" s="86">
        <f t="shared" si="6"/>
        <v>186.2979037</v>
      </c>
    </row>
    <row r="16" ht="14.25" customHeight="1">
      <c r="A16" s="30" t="s">
        <v>36</v>
      </c>
      <c r="B16" s="84">
        <f>Assumptions!C13</f>
        <v>310</v>
      </c>
      <c r="C16" s="84">
        <f>Assumptions!B149</f>
        <v>6</v>
      </c>
      <c r="D16" s="84">
        <v>2.0</v>
      </c>
      <c r="E16" s="84">
        <f t="shared" si="1"/>
        <v>1860</v>
      </c>
      <c r="F16" s="84">
        <f t="shared" si="2"/>
        <v>620</v>
      </c>
      <c r="G16" s="85">
        <f t="shared" si="3"/>
        <v>15664.70027</v>
      </c>
      <c r="H16" s="85">
        <f t="shared" si="4"/>
        <v>99840</v>
      </c>
      <c r="I16" s="85">
        <f t="shared" si="5"/>
        <v>115504.7003</v>
      </c>
      <c r="J16" s="86">
        <f t="shared" si="6"/>
        <v>372.5958073</v>
      </c>
    </row>
    <row r="17" ht="14.25" customHeight="1">
      <c r="A17" s="30" t="s">
        <v>37</v>
      </c>
      <c r="B17" s="84">
        <f>Assumptions!C14</f>
        <v>124</v>
      </c>
      <c r="C17" s="84">
        <f>Assumptions!B150</f>
        <v>4</v>
      </c>
      <c r="D17" s="84">
        <f>Assumptions!C102</f>
        <v>1</v>
      </c>
      <c r="E17" s="84">
        <f t="shared" si="1"/>
        <v>496</v>
      </c>
      <c r="F17" s="84">
        <f t="shared" si="2"/>
        <v>124</v>
      </c>
      <c r="G17" s="85">
        <f t="shared" si="3"/>
        <v>4177.253407</v>
      </c>
      <c r="H17" s="85">
        <f t="shared" si="4"/>
        <v>19968</v>
      </c>
      <c r="I17" s="85">
        <f t="shared" si="5"/>
        <v>24145.25341</v>
      </c>
      <c r="J17" s="86">
        <f t="shared" si="6"/>
        <v>194.7197855</v>
      </c>
    </row>
    <row r="18" ht="14.25" customHeight="1">
      <c r="A18" s="30" t="s">
        <v>177</v>
      </c>
      <c r="B18" s="84">
        <f>Assumptions!C15</f>
        <v>186</v>
      </c>
      <c r="C18" s="84">
        <f>Assumptions!B151</f>
        <v>0.5</v>
      </c>
      <c r="D18" s="84">
        <v>0.5</v>
      </c>
      <c r="E18" s="84">
        <f t="shared" si="1"/>
        <v>93</v>
      </c>
      <c r="F18" s="84">
        <f t="shared" si="2"/>
        <v>93</v>
      </c>
      <c r="G18" s="85">
        <f t="shared" si="3"/>
        <v>783.2350137</v>
      </c>
      <c r="H18" s="85">
        <f t="shared" si="4"/>
        <v>14976</v>
      </c>
      <c r="I18" s="85">
        <f t="shared" si="5"/>
        <v>15759.23501</v>
      </c>
      <c r="J18" s="86">
        <f t="shared" si="6"/>
        <v>84.72706997</v>
      </c>
    </row>
    <row r="19" ht="14.25" customHeight="1">
      <c r="A19" s="30" t="s">
        <v>179</v>
      </c>
      <c r="B19" s="84">
        <f>Assumptions!C16</f>
        <v>124</v>
      </c>
      <c r="C19" s="84">
        <f>Assumptions!B152</f>
        <v>0.5</v>
      </c>
      <c r="D19" s="84">
        <v>0.5</v>
      </c>
      <c r="E19" s="84">
        <f t="shared" si="1"/>
        <v>62</v>
      </c>
      <c r="F19" s="84">
        <f t="shared" si="2"/>
        <v>62</v>
      </c>
      <c r="G19" s="85">
        <f t="shared" si="3"/>
        <v>522.1566758</v>
      </c>
      <c r="H19" s="85">
        <f t="shared" si="4"/>
        <v>9984</v>
      </c>
      <c r="I19" s="85">
        <f t="shared" si="5"/>
        <v>10506.15668</v>
      </c>
      <c r="J19" s="86">
        <f t="shared" si="6"/>
        <v>84.72706997</v>
      </c>
    </row>
    <row r="20" ht="14.25" customHeight="1">
      <c r="B20" s="8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6.86"/>
    <col customWidth="1" min="2" max="2" width="16.0"/>
    <col customWidth="1" min="3" max="3" width="9.0"/>
    <col customWidth="1" min="4" max="4" width="17.57"/>
    <col customWidth="1" min="5" max="5" width="8.0"/>
    <col customWidth="1" min="6" max="6" width="12.14"/>
    <col customWidth="1" min="7" max="8" width="11.57"/>
    <col customWidth="1" min="9" max="9" width="8.0"/>
    <col customWidth="1" min="10" max="12" width="11.57"/>
    <col customWidth="1" min="13" max="13" width="8.0"/>
    <col customWidth="1" min="14" max="16" width="11.57"/>
    <col customWidth="1" min="17" max="17" width="8.0"/>
    <col customWidth="1" min="18" max="20" width="11.57"/>
    <col customWidth="1" min="21" max="21" width="8.0"/>
    <col customWidth="1" min="22" max="24" width="11.57"/>
    <col customWidth="1" min="25" max="25" width="8.0"/>
    <col customWidth="1" min="26" max="28" width="11.57"/>
    <col customWidth="1" min="29" max="29" width="8.0"/>
    <col customWidth="1" min="30" max="32" width="11.57"/>
    <col customWidth="1" min="33" max="33" width="8.0"/>
    <col customWidth="1" min="34" max="36" width="11.57"/>
    <col customWidth="1" min="37" max="37" width="8.0"/>
    <col customWidth="1" min="38" max="40" width="11.57"/>
    <col customWidth="1" min="41" max="41" width="8.0"/>
    <col customWidth="1" min="42" max="44" width="11.57"/>
    <col customWidth="1" min="45" max="45" width="8.0"/>
    <col customWidth="1" min="46" max="48" width="11.57"/>
    <col customWidth="1" min="49" max="49" width="8.0"/>
    <col customWidth="1" min="50" max="52" width="11.57"/>
    <col customWidth="1" min="53" max="54" width="8.71"/>
  </cols>
  <sheetData>
    <row r="1" ht="14.25" customHeight="1">
      <c r="A1" s="88" t="s">
        <v>222</v>
      </c>
    </row>
    <row r="2" ht="14.25" customHeight="1">
      <c r="E2" s="89" t="s">
        <v>223</v>
      </c>
      <c r="F2" s="90"/>
      <c r="G2" s="90"/>
      <c r="H2" s="91"/>
      <c r="I2" s="89" t="s">
        <v>224</v>
      </c>
      <c r="J2" s="90"/>
      <c r="K2" s="90"/>
      <c r="L2" s="91"/>
      <c r="M2" s="89" t="s">
        <v>225</v>
      </c>
      <c r="N2" s="90"/>
      <c r="O2" s="90"/>
      <c r="P2" s="91"/>
      <c r="Q2" s="89" t="s">
        <v>226</v>
      </c>
      <c r="R2" s="90"/>
      <c r="S2" s="90"/>
      <c r="T2" s="91"/>
      <c r="U2" s="89" t="s">
        <v>227</v>
      </c>
      <c r="V2" s="90"/>
      <c r="W2" s="90"/>
      <c r="X2" s="91"/>
      <c r="Y2" s="89" t="s">
        <v>228</v>
      </c>
      <c r="Z2" s="90"/>
      <c r="AA2" s="90"/>
      <c r="AB2" s="91"/>
      <c r="AC2" s="89" t="s">
        <v>229</v>
      </c>
      <c r="AD2" s="90"/>
      <c r="AE2" s="90"/>
      <c r="AF2" s="91"/>
      <c r="AG2" s="89" t="s">
        <v>230</v>
      </c>
      <c r="AH2" s="90"/>
      <c r="AI2" s="90"/>
      <c r="AJ2" s="91"/>
      <c r="AK2" s="89" t="s">
        <v>231</v>
      </c>
      <c r="AL2" s="90"/>
      <c r="AM2" s="90"/>
      <c r="AN2" s="91"/>
      <c r="AO2" s="89" t="s">
        <v>232</v>
      </c>
      <c r="AP2" s="90"/>
      <c r="AQ2" s="90"/>
      <c r="AR2" s="91"/>
      <c r="AS2" s="89" t="s">
        <v>233</v>
      </c>
      <c r="AT2" s="90"/>
      <c r="AU2" s="90"/>
      <c r="AV2" s="91"/>
      <c r="AW2" s="89" t="s">
        <v>234</v>
      </c>
      <c r="AX2" s="90"/>
      <c r="AY2" s="90"/>
      <c r="AZ2" s="91"/>
    </row>
    <row r="3" ht="14.25" customHeight="1">
      <c r="A3" s="92" t="s">
        <v>16</v>
      </c>
      <c r="B3" s="92" t="s">
        <v>235</v>
      </c>
      <c r="C3" s="92" t="s">
        <v>33</v>
      </c>
      <c r="D3" s="92" t="s">
        <v>236</v>
      </c>
      <c r="E3" s="92" t="s">
        <v>43</v>
      </c>
      <c r="F3" s="92" t="s">
        <v>237</v>
      </c>
      <c r="G3" s="92" t="s">
        <v>238</v>
      </c>
      <c r="H3" s="92" t="s">
        <v>239</v>
      </c>
      <c r="I3" s="92" t="s">
        <v>43</v>
      </c>
      <c r="J3" s="92" t="s">
        <v>237</v>
      </c>
      <c r="K3" s="92" t="s">
        <v>238</v>
      </c>
      <c r="L3" s="92" t="s">
        <v>239</v>
      </c>
      <c r="M3" s="93" t="s">
        <v>43</v>
      </c>
      <c r="N3" s="92" t="s">
        <v>237</v>
      </c>
      <c r="O3" s="92" t="s">
        <v>238</v>
      </c>
      <c r="P3" s="92" t="s">
        <v>239</v>
      </c>
      <c r="Q3" s="92" t="s">
        <v>43</v>
      </c>
      <c r="R3" s="92" t="s">
        <v>237</v>
      </c>
      <c r="S3" s="92" t="s">
        <v>238</v>
      </c>
      <c r="T3" s="92" t="s">
        <v>239</v>
      </c>
      <c r="U3" s="92" t="s">
        <v>43</v>
      </c>
      <c r="V3" s="92" t="s">
        <v>237</v>
      </c>
      <c r="W3" s="92" t="s">
        <v>238</v>
      </c>
      <c r="X3" s="92" t="s">
        <v>239</v>
      </c>
      <c r="Y3" s="92" t="s">
        <v>43</v>
      </c>
      <c r="Z3" s="92" t="s">
        <v>237</v>
      </c>
      <c r="AA3" s="92" t="s">
        <v>238</v>
      </c>
      <c r="AB3" s="92" t="s">
        <v>239</v>
      </c>
      <c r="AC3" s="92" t="s">
        <v>43</v>
      </c>
      <c r="AD3" s="92" t="s">
        <v>237</v>
      </c>
      <c r="AE3" s="92" t="s">
        <v>238</v>
      </c>
      <c r="AF3" s="92" t="s">
        <v>239</v>
      </c>
      <c r="AG3" s="92" t="s">
        <v>43</v>
      </c>
      <c r="AH3" s="92" t="s">
        <v>237</v>
      </c>
      <c r="AI3" s="92" t="s">
        <v>238</v>
      </c>
      <c r="AJ3" s="92" t="s">
        <v>239</v>
      </c>
      <c r="AK3" s="92" t="s">
        <v>43</v>
      </c>
      <c r="AL3" s="92" t="s">
        <v>237</v>
      </c>
      <c r="AM3" s="92" t="s">
        <v>238</v>
      </c>
      <c r="AN3" s="92" t="s">
        <v>239</v>
      </c>
      <c r="AO3" s="92" t="s">
        <v>43</v>
      </c>
      <c r="AP3" s="92" t="s">
        <v>237</v>
      </c>
      <c r="AQ3" s="92" t="s">
        <v>238</v>
      </c>
      <c r="AR3" s="92" t="s">
        <v>239</v>
      </c>
      <c r="AS3" s="92" t="s">
        <v>43</v>
      </c>
      <c r="AT3" s="92" t="s">
        <v>237</v>
      </c>
      <c r="AU3" s="92" t="s">
        <v>238</v>
      </c>
      <c r="AV3" s="92" t="s">
        <v>239</v>
      </c>
      <c r="AW3" s="92" t="s">
        <v>43</v>
      </c>
      <c r="AX3" s="92" t="s">
        <v>237</v>
      </c>
      <c r="AY3" s="92" t="s">
        <v>238</v>
      </c>
      <c r="AZ3" s="92" t="s">
        <v>239</v>
      </c>
    </row>
    <row r="4" ht="14.25" customHeight="1">
      <c r="A4" s="13" t="s">
        <v>34</v>
      </c>
      <c r="B4" s="94">
        <f>Assumptions!M11</f>
        <v>248</v>
      </c>
      <c r="C4" s="21">
        <f>Assumptions!S11</f>
        <v>669.4613333</v>
      </c>
      <c r="D4" s="16">
        <f>Assumptions!R11</f>
        <v>478.1866667</v>
      </c>
      <c r="E4" s="95">
        <f t="shared" ref="E4:E9" si="1">$B4/12</f>
        <v>20.66666667</v>
      </c>
      <c r="F4" s="18">
        <f t="shared" ref="F4:F9" si="2">E4*$C4</f>
        <v>13835.53422</v>
      </c>
      <c r="G4" s="18">
        <f t="shared" ref="G4:G9" si="3">E4*$D4</f>
        <v>9882.524444</v>
      </c>
      <c r="H4" s="18">
        <f t="shared" ref="H4:H9" si="4">F4-G4</f>
        <v>3953.009778</v>
      </c>
      <c r="I4" s="95">
        <f t="shared" ref="I4:I9" si="5">$B4/12</f>
        <v>20.66666667</v>
      </c>
      <c r="J4" s="18">
        <f t="shared" ref="J4:J9" si="6">I4*$C4</f>
        <v>13835.53422</v>
      </c>
      <c r="K4" s="18">
        <f t="shared" ref="K4:K9" si="7">I4*$D4</f>
        <v>9882.524444</v>
      </c>
      <c r="L4" s="18">
        <f t="shared" ref="L4:L9" si="8">J4-K4</f>
        <v>3953.009778</v>
      </c>
      <c r="M4" s="95">
        <f t="shared" ref="M4:M9" si="9">$B4/12</f>
        <v>20.66666667</v>
      </c>
      <c r="N4" s="18">
        <f t="shared" ref="N4:N9" si="10">M4*$C4</f>
        <v>13835.53422</v>
      </c>
      <c r="O4" s="18">
        <f t="shared" ref="O4:O9" si="11">M4*$D4</f>
        <v>9882.524444</v>
      </c>
      <c r="P4" s="18">
        <f t="shared" ref="P4:P9" si="12">N4-O4</f>
        <v>3953.009778</v>
      </c>
      <c r="Q4" s="95">
        <f t="shared" ref="Q4:Q9" si="13">$B4/12</f>
        <v>20.66666667</v>
      </c>
      <c r="R4" s="18">
        <f t="shared" ref="R4:R9" si="14">Q4*$C4</f>
        <v>13835.53422</v>
      </c>
      <c r="S4" s="18">
        <f t="shared" ref="S4:S9" si="15">Q4*$D4</f>
        <v>9882.524444</v>
      </c>
      <c r="T4" s="18">
        <f t="shared" ref="T4:T9" si="16">R4-S4</f>
        <v>3953.009778</v>
      </c>
      <c r="U4" s="95">
        <f t="shared" ref="U4:U9" si="17">$B4/12</f>
        <v>20.66666667</v>
      </c>
      <c r="V4" s="18">
        <f t="shared" ref="V4:V9" si="18">U4*$C4</f>
        <v>13835.53422</v>
      </c>
      <c r="W4" s="18">
        <f t="shared" ref="W4:W9" si="19">U4*$D4</f>
        <v>9882.524444</v>
      </c>
      <c r="X4" s="18">
        <f t="shared" ref="X4:X9" si="20">V4-W4</f>
        <v>3953.009778</v>
      </c>
      <c r="Y4" s="95">
        <f t="shared" ref="Y4:Y9" si="21">$B4/12</f>
        <v>20.66666667</v>
      </c>
      <c r="Z4" s="18">
        <f t="shared" ref="Z4:Z9" si="22">Y4*$C4</f>
        <v>13835.53422</v>
      </c>
      <c r="AA4" s="18">
        <f t="shared" ref="AA4:AA9" si="23">Y4*$D4</f>
        <v>9882.524444</v>
      </c>
      <c r="AB4" s="18">
        <f t="shared" ref="AB4:AB9" si="24">Z4-AA4</f>
        <v>3953.009778</v>
      </c>
      <c r="AC4" s="95">
        <f t="shared" ref="AC4:AC9" si="25">$B4/12</f>
        <v>20.66666667</v>
      </c>
      <c r="AD4" s="18">
        <f t="shared" ref="AD4:AD9" si="26">AC4*$C4</f>
        <v>13835.53422</v>
      </c>
      <c r="AE4" s="18">
        <f t="shared" ref="AE4:AE9" si="27">AC4*$D4</f>
        <v>9882.524444</v>
      </c>
      <c r="AF4" s="18">
        <f t="shared" ref="AF4:AF9" si="28">AD4-AE4</f>
        <v>3953.009778</v>
      </c>
      <c r="AG4" s="95">
        <f t="shared" ref="AG4:AG9" si="29">$B4/12</f>
        <v>20.66666667</v>
      </c>
      <c r="AH4" s="18">
        <f t="shared" ref="AH4:AH9" si="30">AG4*$C4</f>
        <v>13835.53422</v>
      </c>
      <c r="AI4" s="18">
        <f t="shared" ref="AI4:AI9" si="31">AG4*$D4</f>
        <v>9882.524444</v>
      </c>
      <c r="AJ4" s="18">
        <f t="shared" ref="AJ4:AJ9" si="32">AH4-AI4</f>
        <v>3953.009778</v>
      </c>
      <c r="AK4" s="95">
        <f t="shared" ref="AK4:AK9" si="33">$B4/12</f>
        <v>20.66666667</v>
      </c>
      <c r="AL4" s="18">
        <f t="shared" ref="AL4:AL9" si="34">AK4*$C4</f>
        <v>13835.53422</v>
      </c>
      <c r="AM4" s="18">
        <f t="shared" ref="AM4:AM9" si="35">AK4*$D4</f>
        <v>9882.524444</v>
      </c>
      <c r="AN4" s="18">
        <f t="shared" ref="AN4:AN9" si="36">AL4-AM4</f>
        <v>3953.009778</v>
      </c>
      <c r="AO4" s="95">
        <f t="shared" ref="AO4:AO9" si="37">$B4/12</f>
        <v>20.66666667</v>
      </c>
      <c r="AP4" s="18">
        <f t="shared" ref="AP4:AP9" si="38">AO4*$C4</f>
        <v>13835.53422</v>
      </c>
      <c r="AQ4" s="18">
        <f t="shared" ref="AQ4:AQ9" si="39">AO4*$D4</f>
        <v>9882.524444</v>
      </c>
      <c r="AR4" s="18">
        <f t="shared" ref="AR4:AR9" si="40">AP4-AQ4</f>
        <v>3953.009778</v>
      </c>
      <c r="AS4" s="95">
        <f t="shared" ref="AS4:AS9" si="41">$B4/12</f>
        <v>20.66666667</v>
      </c>
      <c r="AT4" s="18">
        <f t="shared" ref="AT4:AT9" si="42">AS4*$C4</f>
        <v>13835.53422</v>
      </c>
      <c r="AU4" s="18">
        <f t="shared" ref="AU4:AU9" si="43">AS4*$D4</f>
        <v>9882.524444</v>
      </c>
      <c r="AV4" s="18">
        <f t="shared" ref="AV4:AV9" si="44">AT4-AU4</f>
        <v>3953.009778</v>
      </c>
      <c r="AW4" s="95">
        <f t="shared" ref="AW4:AW9" si="45">$B4/12</f>
        <v>20.66666667</v>
      </c>
      <c r="AX4" s="18">
        <f t="shared" ref="AX4:AX9" si="46">AW4*$C4</f>
        <v>13835.53422</v>
      </c>
      <c r="AY4" s="18">
        <f t="shared" ref="AY4:AY9" si="47">AW4*$D4</f>
        <v>9882.524444</v>
      </c>
      <c r="AZ4" s="18">
        <f t="shared" ref="AZ4:AZ9" si="48">AX4-AY4</f>
        <v>3953.009778</v>
      </c>
    </row>
    <row r="5" ht="14.25" customHeight="1">
      <c r="A5" s="13" t="s">
        <v>35</v>
      </c>
      <c r="B5" s="94">
        <f>Assumptions!M12</f>
        <v>248</v>
      </c>
      <c r="C5" s="21">
        <f>Assumptions!S12</f>
        <v>578.508</v>
      </c>
      <c r="D5" s="21">
        <f>Assumptions!R12</f>
        <v>413.22</v>
      </c>
      <c r="E5" s="95">
        <f t="shared" si="1"/>
        <v>20.66666667</v>
      </c>
      <c r="F5" s="18">
        <f t="shared" si="2"/>
        <v>11955.832</v>
      </c>
      <c r="G5" s="18">
        <f t="shared" si="3"/>
        <v>8539.88</v>
      </c>
      <c r="H5" s="18">
        <f t="shared" si="4"/>
        <v>3415.952</v>
      </c>
      <c r="I5" s="95">
        <f t="shared" si="5"/>
        <v>20.66666667</v>
      </c>
      <c r="J5" s="18">
        <f t="shared" si="6"/>
        <v>11955.832</v>
      </c>
      <c r="K5" s="18">
        <f t="shared" si="7"/>
        <v>8539.88</v>
      </c>
      <c r="L5" s="18">
        <f t="shared" si="8"/>
        <v>3415.952</v>
      </c>
      <c r="M5" s="95">
        <f t="shared" si="9"/>
        <v>20.66666667</v>
      </c>
      <c r="N5" s="18">
        <f t="shared" si="10"/>
        <v>11955.832</v>
      </c>
      <c r="O5" s="18">
        <f t="shared" si="11"/>
        <v>8539.88</v>
      </c>
      <c r="P5" s="18">
        <f t="shared" si="12"/>
        <v>3415.952</v>
      </c>
      <c r="Q5" s="95">
        <f t="shared" si="13"/>
        <v>20.66666667</v>
      </c>
      <c r="R5" s="18">
        <f t="shared" si="14"/>
        <v>11955.832</v>
      </c>
      <c r="S5" s="18">
        <f t="shared" si="15"/>
        <v>8539.88</v>
      </c>
      <c r="T5" s="18">
        <f t="shared" si="16"/>
        <v>3415.952</v>
      </c>
      <c r="U5" s="95">
        <f t="shared" si="17"/>
        <v>20.66666667</v>
      </c>
      <c r="V5" s="18">
        <f t="shared" si="18"/>
        <v>11955.832</v>
      </c>
      <c r="W5" s="18">
        <f t="shared" si="19"/>
        <v>8539.88</v>
      </c>
      <c r="X5" s="18">
        <f t="shared" si="20"/>
        <v>3415.952</v>
      </c>
      <c r="Y5" s="95">
        <f t="shared" si="21"/>
        <v>20.66666667</v>
      </c>
      <c r="Z5" s="18">
        <f t="shared" si="22"/>
        <v>11955.832</v>
      </c>
      <c r="AA5" s="18">
        <f t="shared" si="23"/>
        <v>8539.88</v>
      </c>
      <c r="AB5" s="18">
        <f t="shared" si="24"/>
        <v>3415.952</v>
      </c>
      <c r="AC5" s="95">
        <f t="shared" si="25"/>
        <v>20.66666667</v>
      </c>
      <c r="AD5" s="18">
        <f t="shared" si="26"/>
        <v>11955.832</v>
      </c>
      <c r="AE5" s="18">
        <f t="shared" si="27"/>
        <v>8539.88</v>
      </c>
      <c r="AF5" s="18">
        <f t="shared" si="28"/>
        <v>3415.952</v>
      </c>
      <c r="AG5" s="95">
        <f t="shared" si="29"/>
        <v>20.66666667</v>
      </c>
      <c r="AH5" s="18">
        <f t="shared" si="30"/>
        <v>11955.832</v>
      </c>
      <c r="AI5" s="18">
        <f t="shared" si="31"/>
        <v>8539.88</v>
      </c>
      <c r="AJ5" s="18">
        <f t="shared" si="32"/>
        <v>3415.952</v>
      </c>
      <c r="AK5" s="95">
        <f t="shared" si="33"/>
        <v>20.66666667</v>
      </c>
      <c r="AL5" s="18">
        <f t="shared" si="34"/>
        <v>11955.832</v>
      </c>
      <c r="AM5" s="18">
        <f t="shared" si="35"/>
        <v>8539.88</v>
      </c>
      <c r="AN5" s="18">
        <f t="shared" si="36"/>
        <v>3415.952</v>
      </c>
      <c r="AO5" s="95">
        <f t="shared" si="37"/>
        <v>20.66666667</v>
      </c>
      <c r="AP5" s="18">
        <f t="shared" si="38"/>
        <v>11955.832</v>
      </c>
      <c r="AQ5" s="18">
        <f t="shared" si="39"/>
        <v>8539.88</v>
      </c>
      <c r="AR5" s="18">
        <f t="shared" si="40"/>
        <v>3415.952</v>
      </c>
      <c r="AS5" s="95">
        <f t="shared" si="41"/>
        <v>20.66666667</v>
      </c>
      <c r="AT5" s="18">
        <f t="shared" si="42"/>
        <v>11955.832</v>
      </c>
      <c r="AU5" s="18">
        <f t="shared" si="43"/>
        <v>8539.88</v>
      </c>
      <c r="AV5" s="18">
        <f t="shared" si="44"/>
        <v>3415.952</v>
      </c>
      <c r="AW5" s="95">
        <f t="shared" si="45"/>
        <v>20.66666667</v>
      </c>
      <c r="AX5" s="18">
        <f t="shared" si="46"/>
        <v>11955.832</v>
      </c>
      <c r="AY5" s="18">
        <f t="shared" si="47"/>
        <v>8539.88</v>
      </c>
      <c r="AZ5" s="18">
        <f t="shared" si="48"/>
        <v>3415.952</v>
      </c>
    </row>
    <row r="6" ht="14.25" customHeight="1">
      <c r="A6" s="13" t="s">
        <v>36</v>
      </c>
      <c r="B6" s="94">
        <f>Assumptions!M13</f>
        <v>310</v>
      </c>
      <c r="C6" s="21">
        <f>Assumptions!S13</f>
        <v>2755.396</v>
      </c>
      <c r="D6" s="21">
        <f>Assumptions!R13</f>
        <v>1968.14</v>
      </c>
      <c r="E6" s="95">
        <f t="shared" si="1"/>
        <v>25.83333333</v>
      </c>
      <c r="F6" s="18">
        <f t="shared" si="2"/>
        <v>71181.06333</v>
      </c>
      <c r="G6" s="18">
        <f t="shared" si="3"/>
        <v>50843.61667</v>
      </c>
      <c r="H6" s="18">
        <f t="shared" si="4"/>
        <v>20337.44667</v>
      </c>
      <c r="I6" s="95">
        <f t="shared" si="5"/>
        <v>25.83333333</v>
      </c>
      <c r="J6" s="18">
        <f t="shared" si="6"/>
        <v>71181.06333</v>
      </c>
      <c r="K6" s="18">
        <f t="shared" si="7"/>
        <v>50843.61667</v>
      </c>
      <c r="L6" s="18">
        <f t="shared" si="8"/>
        <v>20337.44667</v>
      </c>
      <c r="M6" s="95">
        <f t="shared" si="9"/>
        <v>25.83333333</v>
      </c>
      <c r="N6" s="18">
        <f t="shared" si="10"/>
        <v>71181.06333</v>
      </c>
      <c r="O6" s="18">
        <f t="shared" si="11"/>
        <v>50843.61667</v>
      </c>
      <c r="P6" s="18">
        <f t="shared" si="12"/>
        <v>20337.44667</v>
      </c>
      <c r="Q6" s="95">
        <f t="shared" si="13"/>
        <v>25.83333333</v>
      </c>
      <c r="R6" s="18">
        <f t="shared" si="14"/>
        <v>71181.06333</v>
      </c>
      <c r="S6" s="18">
        <f t="shared" si="15"/>
        <v>50843.61667</v>
      </c>
      <c r="T6" s="18">
        <f t="shared" si="16"/>
        <v>20337.44667</v>
      </c>
      <c r="U6" s="95">
        <f t="shared" si="17"/>
        <v>25.83333333</v>
      </c>
      <c r="V6" s="18">
        <f t="shared" si="18"/>
        <v>71181.06333</v>
      </c>
      <c r="W6" s="18">
        <f t="shared" si="19"/>
        <v>50843.61667</v>
      </c>
      <c r="X6" s="18">
        <f t="shared" si="20"/>
        <v>20337.44667</v>
      </c>
      <c r="Y6" s="95">
        <f t="shared" si="21"/>
        <v>25.83333333</v>
      </c>
      <c r="Z6" s="18">
        <f t="shared" si="22"/>
        <v>71181.06333</v>
      </c>
      <c r="AA6" s="18">
        <f t="shared" si="23"/>
        <v>50843.61667</v>
      </c>
      <c r="AB6" s="18">
        <f t="shared" si="24"/>
        <v>20337.44667</v>
      </c>
      <c r="AC6" s="95">
        <f t="shared" si="25"/>
        <v>25.83333333</v>
      </c>
      <c r="AD6" s="18">
        <f t="shared" si="26"/>
        <v>71181.06333</v>
      </c>
      <c r="AE6" s="18">
        <f t="shared" si="27"/>
        <v>50843.61667</v>
      </c>
      <c r="AF6" s="18">
        <f t="shared" si="28"/>
        <v>20337.44667</v>
      </c>
      <c r="AG6" s="95">
        <f t="shared" si="29"/>
        <v>25.83333333</v>
      </c>
      <c r="AH6" s="18">
        <f t="shared" si="30"/>
        <v>71181.06333</v>
      </c>
      <c r="AI6" s="18">
        <f t="shared" si="31"/>
        <v>50843.61667</v>
      </c>
      <c r="AJ6" s="18">
        <f t="shared" si="32"/>
        <v>20337.44667</v>
      </c>
      <c r="AK6" s="95">
        <f t="shared" si="33"/>
        <v>25.83333333</v>
      </c>
      <c r="AL6" s="18">
        <f t="shared" si="34"/>
        <v>71181.06333</v>
      </c>
      <c r="AM6" s="18">
        <f t="shared" si="35"/>
        <v>50843.61667</v>
      </c>
      <c r="AN6" s="18">
        <f t="shared" si="36"/>
        <v>20337.44667</v>
      </c>
      <c r="AO6" s="95">
        <f t="shared" si="37"/>
        <v>25.83333333</v>
      </c>
      <c r="AP6" s="18">
        <f t="shared" si="38"/>
        <v>71181.06333</v>
      </c>
      <c r="AQ6" s="18">
        <f t="shared" si="39"/>
        <v>50843.61667</v>
      </c>
      <c r="AR6" s="18">
        <f t="shared" si="40"/>
        <v>20337.44667</v>
      </c>
      <c r="AS6" s="95">
        <f t="shared" si="41"/>
        <v>25.83333333</v>
      </c>
      <c r="AT6" s="18">
        <f t="shared" si="42"/>
        <v>71181.06333</v>
      </c>
      <c r="AU6" s="18">
        <f t="shared" si="43"/>
        <v>50843.61667</v>
      </c>
      <c r="AV6" s="18">
        <f t="shared" si="44"/>
        <v>20337.44667</v>
      </c>
      <c r="AW6" s="95">
        <f t="shared" si="45"/>
        <v>25.83333333</v>
      </c>
      <c r="AX6" s="18">
        <f t="shared" si="46"/>
        <v>71181.06333</v>
      </c>
      <c r="AY6" s="18">
        <f t="shared" si="47"/>
        <v>50843.61667</v>
      </c>
      <c r="AZ6" s="18">
        <f t="shared" si="48"/>
        <v>20337.44667</v>
      </c>
    </row>
    <row r="7" ht="14.25" customHeight="1">
      <c r="A7" s="13" t="s">
        <v>37</v>
      </c>
      <c r="B7" s="94">
        <f>Assumptions!M14</f>
        <v>124</v>
      </c>
      <c r="C7" s="21">
        <f>Assumptions!S14</f>
        <v>497.0886667</v>
      </c>
      <c r="D7" s="21">
        <f>Assumptions!R14</f>
        <v>355.0633333</v>
      </c>
      <c r="E7" s="95">
        <f t="shared" si="1"/>
        <v>10.33333333</v>
      </c>
      <c r="F7" s="18">
        <f t="shared" si="2"/>
        <v>5136.582889</v>
      </c>
      <c r="G7" s="18">
        <f t="shared" si="3"/>
        <v>3668.987778</v>
      </c>
      <c r="H7" s="18">
        <f t="shared" si="4"/>
        <v>1467.595111</v>
      </c>
      <c r="I7" s="95">
        <f t="shared" si="5"/>
        <v>10.33333333</v>
      </c>
      <c r="J7" s="18">
        <f t="shared" si="6"/>
        <v>5136.582889</v>
      </c>
      <c r="K7" s="18">
        <f t="shared" si="7"/>
        <v>3668.987778</v>
      </c>
      <c r="L7" s="18">
        <f t="shared" si="8"/>
        <v>1467.595111</v>
      </c>
      <c r="M7" s="95">
        <f t="shared" si="9"/>
        <v>10.33333333</v>
      </c>
      <c r="N7" s="18">
        <f t="shared" si="10"/>
        <v>5136.582889</v>
      </c>
      <c r="O7" s="18">
        <f t="shared" si="11"/>
        <v>3668.987778</v>
      </c>
      <c r="P7" s="18">
        <f t="shared" si="12"/>
        <v>1467.595111</v>
      </c>
      <c r="Q7" s="95">
        <f t="shared" si="13"/>
        <v>10.33333333</v>
      </c>
      <c r="R7" s="18">
        <f t="shared" si="14"/>
        <v>5136.582889</v>
      </c>
      <c r="S7" s="18">
        <f t="shared" si="15"/>
        <v>3668.987778</v>
      </c>
      <c r="T7" s="18">
        <f t="shared" si="16"/>
        <v>1467.595111</v>
      </c>
      <c r="U7" s="95">
        <f t="shared" si="17"/>
        <v>10.33333333</v>
      </c>
      <c r="V7" s="18">
        <f t="shared" si="18"/>
        <v>5136.582889</v>
      </c>
      <c r="W7" s="18">
        <f t="shared" si="19"/>
        <v>3668.987778</v>
      </c>
      <c r="X7" s="18">
        <f t="shared" si="20"/>
        <v>1467.595111</v>
      </c>
      <c r="Y7" s="95">
        <f t="shared" si="21"/>
        <v>10.33333333</v>
      </c>
      <c r="Z7" s="18">
        <f t="shared" si="22"/>
        <v>5136.582889</v>
      </c>
      <c r="AA7" s="18">
        <f t="shared" si="23"/>
        <v>3668.987778</v>
      </c>
      <c r="AB7" s="18">
        <f t="shared" si="24"/>
        <v>1467.595111</v>
      </c>
      <c r="AC7" s="95">
        <f t="shared" si="25"/>
        <v>10.33333333</v>
      </c>
      <c r="AD7" s="18">
        <f t="shared" si="26"/>
        <v>5136.582889</v>
      </c>
      <c r="AE7" s="18">
        <f t="shared" si="27"/>
        <v>3668.987778</v>
      </c>
      <c r="AF7" s="18">
        <f t="shared" si="28"/>
        <v>1467.595111</v>
      </c>
      <c r="AG7" s="95">
        <f t="shared" si="29"/>
        <v>10.33333333</v>
      </c>
      <c r="AH7" s="18">
        <f t="shared" si="30"/>
        <v>5136.582889</v>
      </c>
      <c r="AI7" s="18">
        <f t="shared" si="31"/>
        <v>3668.987778</v>
      </c>
      <c r="AJ7" s="18">
        <f t="shared" si="32"/>
        <v>1467.595111</v>
      </c>
      <c r="AK7" s="95">
        <f t="shared" si="33"/>
        <v>10.33333333</v>
      </c>
      <c r="AL7" s="18">
        <f t="shared" si="34"/>
        <v>5136.582889</v>
      </c>
      <c r="AM7" s="18">
        <f t="shared" si="35"/>
        <v>3668.987778</v>
      </c>
      <c r="AN7" s="18">
        <f t="shared" si="36"/>
        <v>1467.595111</v>
      </c>
      <c r="AO7" s="95">
        <f t="shared" si="37"/>
        <v>10.33333333</v>
      </c>
      <c r="AP7" s="18">
        <f t="shared" si="38"/>
        <v>5136.582889</v>
      </c>
      <c r="AQ7" s="18">
        <f t="shared" si="39"/>
        <v>3668.987778</v>
      </c>
      <c r="AR7" s="18">
        <f t="shared" si="40"/>
        <v>1467.595111</v>
      </c>
      <c r="AS7" s="95">
        <f t="shared" si="41"/>
        <v>10.33333333</v>
      </c>
      <c r="AT7" s="18">
        <f t="shared" si="42"/>
        <v>5136.582889</v>
      </c>
      <c r="AU7" s="18">
        <f t="shared" si="43"/>
        <v>3668.987778</v>
      </c>
      <c r="AV7" s="18">
        <f t="shared" si="44"/>
        <v>1467.595111</v>
      </c>
      <c r="AW7" s="95">
        <f t="shared" si="45"/>
        <v>10.33333333</v>
      </c>
      <c r="AX7" s="18">
        <f t="shared" si="46"/>
        <v>5136.582889</v>
      </c>
      <c r="AY7" s="18">
        <f t="shared" si="47"/>
        <v>3668.987778</v>
      </c>
      <c r="AZ7" s="18">
        <f t="shared" si="48"/>
        <v>1467.595111</v>
      </c>
    </row>
    <row r="8" ht="14.25" customHeight="1">
      <c r="A8" s="13" t="s">
        <v>38</v>
      </c>
      <c r="B8" s="94">
        <f>Assumptions!M15</f>
        <v>186</v>
      </c>
      <c r="C8" s="21">
        <f>Assumptions!S15</f>
        <v>5426.115333</v>
      </c>
      <c r="D8" s="21">
        <f>Assumptions!R15</f>
        <v>3875.796667</v>
      </c>
      <c r="E8" s="95">
        <f t="shared" si="1"/>
        <v>15.5</v>
      </c>
      <c r="F8" s="18">
        <f t="shared" si="2"/>
        <v>84104.78767</v>
      </c>
      <c r="G8" s="18">
        <f t="shared" si="3"/>
        <v>60074.84833</v>
      </c>
      <c r="H8" s="18">
        <f t="shared" si="4"/>
        <v>24029.93933</v>
      </c>
      <c r="I8" s="95">
        <f t="shared" si="5"/>
        <v>15.5</v>
      </c>
      <c r="J8" s="18">
        <f t="shared" si="6"/>
        <v>84104.78767</v>
      </c>
      <c r="K8" s="18">
        <f t="shared" si="7"/>
        <v>60074.84833</v>
      </c>
      <c r="L8" s="18">
        <f t="shared" si="8"/>
        <v>24029.93933</v>
      </c>
      <c r="M8" s="95">
        <f t="shared" si="9"/>
        <v>15.5</v>
      </c>
      <c r="N8" s="18">
        <f t="shared" si="10"/>
        <v>84104.78767</v>
      </c>
      <c r="O8" s="18">
        <f t="shared" si="11"/>
        <v>60074.84833</v>
      </c>
      <c r="P8" s="18">
        <f t="shared" si="12"/>
        <v>24029.93933</v>
      </c>
      <c r="Q8" s="95">
        <f t="shared" si="13"/>
        <v>15.5</v>
      </c>
      <c r="R8" s="18">
        <f t="shared" si="14"/>
        <v>84104.78767</v>
      </c>
      <c r="S8" s="18">
        <f t="shared" si="15"/>
        <v>60074.84833</v>
      </c>
      <c r="T8" s="18">
        <f t="shared" si="16"/>
        <v>24029.93933</v>
      </c>
      <c r="U8" s="95">
        <f t="shared" si="17"/>
        <v>15.5</v>
      </c>
      <c r="V8" s="18">
        <f t="shared" si="18"/>
        <v>84104.78767</v>
      </c>
      <c r="W8" s="18">
        <f t="shared" si="19"/>
        <v>60074.84833</v>
      </c>
      <c r="X8" s="18">
        <f t="shared" si="20"/>
        <v>24029.93933</v>
      </c>
      <c r="Y8" s="95">
        <f t="shared" si="21"/>
        <v>15.5</v>
      </c>
      <c r="Z8" s="18">
        <f t="shared" si="22"/>
        <v>84104.78767</v>
      </c>
      <c r="AA8" s="18">
        <f t="shared" si="23"/>
        <v>60074.84833</v>
      </c>
      <c r="AB8" s="18">
        <f t="shared" si="24"/>
        <v>24029.93933</v>
      </c>
      <c r="AC8" s="95">
        <f t="shared" si="25"/>
        <v>15.5</v>
      </c>
      <c r="AD8" s="18">
        <f t="shared" si="26"/>
        <v>84104.78767</v>
      </c>
      <c r="AE8" s="18">
        <f t="shared" si="27"/>
        <v>60074.84833</v>
      </c>
      <c r="AF8" s="18">
        <f t="shared" si="28"/>
        <v>24029.93933</v>
      </c>
      <c r="AG8" s="95">
        <f t="shared" si="29"/>
        <v>15.5</v>
      </c>
      <c r="AH8" s="18">
        <f t="shared" si="30"/>
        <v>84104.78767</v>
      </c>
      <c r="AI8" s="18">
        <f t="shared" si="31"/>
        <v>60074.84833</v>
      </c>
      <c r="AJ8" s="18">
        <f t="shared" si="32"/>
        <v>24029.93933</v>
      </c>
      <c r="AK8" s="95">
        <f t="shared" si="33"/>
        <v>15.5</v>
      </c>
      <c r="AL8" s="18">
        <f t="shared" si="34"/>
        <v>84104.78767</v>
      </c>
      <c r="AM8" s="18">
        <f t="shared" si="35"/>
        <v>60074.84833</v>
      </c>
      <c r="AN8" s="18">
        <f t="shared" si="36"/>
        <v>24029.93933</v>
      </c>
      <c r="AO8" s="95">
        <f t="shared" si="37"/>
        <v>15.5</v>
      </c>
      <c r="AP8" s="18">
        <f t="shared" si="38"/>
        <v>84104.78767</v>
      </c>
      <c r="AQ8" s="18">
        <f t="shared" si="39"/>
        <v>60074.84833</v>
      </c>
      <c r="AR8" s="18">
        <f t="shared" si="40"/>
        <v>24029.93933</v>
      </c>
      <c r="AS8" s="95">
        <f t="shared" si="41"/>
        <v>15.5</v>
      </c>
      <c r="AT8" s="18">
        <f t="shared" si="42"/>
        <v>84104.78767</v>
      </c>
      <c r="AU8" s="18">
        <f t="shared" si="43"/>
        <v>60074.84833</v>
      </c>
      <c r="AV8" s="18">
        <f t="shared" si="44"/>
        <v>24029.93933</v>
      </c>
      <c r="AW8" s="95">
        <f t="shared" si="45"/>
        <v>15.5</v>
      </c>
      <c r="AX8" s="18">
        <f t="shared" si="46"/>
        <v>84104.78767</v>
      </c>
      <c r="AY8" s="18">
        <f t="shared" si="47"/>
        <v>60074.84833</v>
      </c>
      <c r="AZ8" s="18">
        <f t="shared" si="48"/>
        <v>24029.93933</v>
      </c>
    </row>
    <row r="9" ht="14.25" customHeight="1">
      <c r="A9" s="13" t="s">
        <v>39</v>
      </c>
      <c r="B9" s="94">
        <f>Assumptions!M16</f>
        <v>124</v>
      </c>
      <c r="C9" s="21">
        <f>Assumptions!S16</f>
        <v>512.5353333</v>
      </c>
      <c r="D9" s="21">
        <f>Assumptions!R16</f>
        <v>366.0966667</v>
      </c>
      <c r="E9" s="95">
        <f t="shared" si="1"/>
        <v>10.33333333</v>
      </c>
      <c r="F9" s="18">
        <f t="shared" si="2"/>
        <v>5296.198444</v>
      </c>
      <c r="G9" s="18">
        <f t="shared" si="3"/>
        <v>3782.998889</v>
      </c>
      <c r="H9" s="18">
        <f t="shared" si="4"/>
        <v>1513.199556</v>
      </c>
      <c r="I9" s="95">
        <f t="shared" si="5"/>
        <v>10.33333333</v>
      </c>
      <c r="J9" s="18">
        <f t="shared" si="6"/>
        <v>5296.198444</v>
      </c>
      <c r="K9" s="18">
        <f t="shared" si="7"/>
        <v>3782.998889</v>
      </c>
      <c r="L9" s="18">
        <f t="shared" si="8"/>
        <v>1513.199556</v>
      </c>
      <c r="M9" s="95">
        <f t="shared" si="9"/>
        <v>10.33333333</v>
      </c>
      <c r="N9" s="18">
        <f t="shared" si="10"/>
        <v>5296.198444</v>
      </c>
      <c r="O9" s="18">
        <f t="shared" si="11"/>
        <v>3782.998889</v>
      </c>
      <c r="P9" s="18">
        <f t="shared" si="12"/>
        <v>1513.199556</v>
      </c>
      <c r="Q9" s="95">
        <f t="shared" si="13"/>
        <v>10.33333333</v>
      </c>
      <c r="R9" s="18">
        <f t="shared" si="14"/>
        <v>5296.198444</v>
      </c>
      <c r="S9" s="18">
        <f t="shared" si="15"/>
        <v>3782.998889</v>
      </c>
      <c r="T9" s="18">
        <f t="shared" si="16"/>
        <v>1513.199556</v>
      </c>
      <c r="U9" s="95">
        <f t="shared" si="17"/>
        <v>10.33333333</v>
      </c>
      <c r="V9" s="18">
        <f t="shared" si="18"/>
        <v>5296.198444</v>
      </c>
      <c r="W9" s="18">
        <f t="shared" si="19"/>
        <v>3782.998889</v>
      </c>
      <c r="X9" s="18">
        <f t="shared" si="20"/>
        <v>1513.199556</v>
      </c>
      <c r="Y9" s="95">
        <f t="shared" si="21"/>
        <v>10.33333333</v>
      </c>
      <c r="Z9" s="18">
        <f t="shared" si="22"/>
        <v>5296.198444</v>
      </c>
      <c r="AA9" s="18">
        <f t="shared" si="23"/>
        <v>3782.998889</v>
      </c>
      <c r="AB9" s="18">
        <f t="shared" si="24"/>
        <v>1513.199556</v>
      </c>
      <c r="AC9" s="95">
        <f t="shared" si="25"/>
        <v>10.33333333</v>
      </c>
      <c r="AD9" s="18">
        <f t="shared" si="26"/>
        <v>5296.198444</v>
      </c>
      <c r="AE9" s="18">
        <f t="shared" si="27"/>
        <v>3782.998889</v>
      </c>
      <c r="AF9" s="18">
        <f t="shared" si="28"/>
        <v>1513.199556</v>
      </c>
      <c r="AG9" s="95">
        <f t="shared" si="29"/>
        <v>10.33333333</v>
      </c>
      <c r="AH9" s="18">
        <f t="shared" si="30"/>
        <v>5296.198444</v>
      </c>
      <c r="AI9" s="18">
        <f t="shared" si="31"/>
        <v>3782.998889</v>
      </c>
      <c r="AJ9" s="18">
        <f t="shared" si="32"/>
        <v>1513.199556</v>
      </c>
      <c r="AK9" s="95">
        <f t="shared" si="33"/>
        <v>10.33333333</v>
      </c>
      <c r="AL9" s="18">
        <f t="shared" si="34"/>
        <v>5296.198444</v>
      </c>
      <c r="AM9" s="18">
        <f t="shared" si="35"/>
        <v>3782.998889</v>
      </c>
      <c r="AN9" s="18">
        <f t="shared" si="36"/>
        <v>1513.199556</v>
      </c>
      <c r="AO9" s="95">
        <f t="shared" si="37"/>
        <v>10.33333333</v>
      </c>
      <c r="AP9" s="18">
        <f t="shared" si="38"/>
        <v>5296.198444</v>
      </c>
      <c r="AQ9" s="18">
        <f t="shared" si="39"/>
        <v>3782.998889</v>
      </c>
      <c r="AR9" s="18">
        <f t="shared" si="40"/>
        <v>1513.199556</v>
      </c>
      <c r="AS9" s="95">
        <f t="shared" si="41"/>
        <v>10.33333333</v>
      </c>
      <c r="AT9" s="18">
        <f t="shared" si="42"/>
        <v>5296.198444</v>
      </c>
      <c r="AU9" s="18">
        <f t="shared" si="43"/>
        <v>3782.998889</v>
      </c>
      <c r="AV9" s="18">
        <f t="shared" si="44"/>
        <v>1513.199556</v>
      </c>
      <c r="AW9" s="95">
        <f t="shared" si="45"/>
        <v>10.33333333</v>
      </c>
      <c r="AX9" s="18">
        <f t="shared" si="46"/>
        <v>5296.198444</v>
      </c>
      <c r="AY9" s="18">
        <f t="shared" si="47"/>
        <v>3782.998889</v>
      </c>
      <c r="AZ9" s="18">
        <f t="shared" si="48"/>
        <v>1513.199556</v>
      </c>
    </row>
    <row r="10" ht="14.25" customHeight="1">
      <c r="A10" s="23" t="s">
        <v>240</v>
      </c>
      <c r="B10" s="13"/>
      <c r="C10" s="13"/>
      <c r="D10" s="13"/>
      <c r="E10" s="96">
        <f t="shared" ref="E10:AZ10" si="49">SUM(E4:E9)</f>
        <v>103.3333333</v>
      </c>
      <c r="F10" s="97">
        <f t="shared" si="49"/>
        <v>191509.9986</v>
      </c>
      <c r="G10" s="97">
        <f t="shared" si="49"/>
        <v>136792.8561</v>
      </c>
      <c r="H10" s="97">
        <f t="shared" si="49"/>
        <v>54717.14244</v>
      </c>
      <c r="I10" s="96">
        <f t="shared" si="49"/>
        <v>103.3333333</v>
      </c>
      <c r="J10" s="97">
        <f t="shared" si="49"/>
        <v>191509.9986</v>
      </c>
      <c r="K10" s="97">
        <f t="shared" si="49"/>
        <v>136792.8561</v>
      </c>
      <c r="L10" s="97">
        <f t="shared" si="49"/>
        <v>54717.14244</v>
      </c>
      <c r="M10" s="96">
        <f t="shared" si="49"/>
        <v>103.3333333</v>
      </c>
      <c r="N10" s="97">
        <f t="shared" si="49"/>
        <v>191509.9986</v>
      </c>
      <c r="O10" s="97">
        <f t="shared" si="49"/>
        <v>136792.8561</v>
      </c>
      <c r="P10" s="97">
        <f t="shared" si="49"/>
        <v>54717.14244</v>
      </c>
      <c r="Q10" s="96">
        <f t="shared" si="49"/>
        <v>103.3333333</v>
      </c>
      <c r="R10" s="97">
        <f t="shared" si="49"/>
        <v>191509.9986</v>
      </c>
      <c r="S10" s="97">
        <f t="shared" si="49"/>
        <v>136792.8561</v>
      </c>
      <c r="T10" s="97">
        <f t="shared" si="49"/>
        <v>54717.14244</v>
      </c>
      <c r="U10" s="96">
        <f t="shared" si="49"/>
        <v>103.3333333</v>
      </c>
      <c r="V10" s="97">
        <f t="shared" si="49"/>
        <v>191509.9986</v>
      </c>
      <c r="W10" s="97">
        <f t="shared" si="49"/>
        <v>136792.8561</v>
      </c>
      <c r="X10" s="97">
        <f t="shared" si="49"/>
        <v>54717.14244</v>
      </c>
      <c r="Y10" s="96">
        <f t="shared" si="49"/>
        <v>103.3333333</v>
      </c>
      <c r="Z10" s="97">
        <f t="shared" si="49"/>
        <v>191509.9986</v>
      </c>
      <c r="AA10" s="97">
        <f t="shared" si="49"/>
        <v>136792.8561</v>
      </c>
      <c r="AB10" s="97">
        <f t="shared" si="49"/>
        <v>54717.14244</v>
      </c>
      <c r="AC10" s="96">
        <f t="shared" si="49"/>
        <v>103.3333333</v>
      </c>
      <c r="AD10" s="97">
        <f t="shared" si="49"/>
        <v>191509.9986</v>
      </c>
      <c r="AE10" s="97">
        <f t="shared" si="49"/>
        <v>136792.8561</v>
      </c>
      <c r="AF10" s="97">
        <f t="shared" si="49"/>
        <v>54717.14244</v>
      </c>
      <c r="AG10" s="96">
        <f t="shared" si="49"/>
        <v>103.3333333</v>
      </c>
      <c r="AH10" s="97">
        <f t="shared" si="49"/>
        <v>191509.9986</v>
      </c>
      <c r="AI10" s="97">
        <f t="shared" si="49"/>
        <v>136792.8561</v>
      </c>
      <c r="AJ10" s="97">
        <f t="shared" si="49"/>
        <v>54717.14244</v>
      </c>
      <c r="AK10" s="96">
        <f t="shared" si="49"/>
        <v>103.3333333</v>
      </c>
      <c r="AL10" s="97">
        <f t="shared" si="49"/>
        <v>191509.9986</v>
      </c>
      <c r="AM10" s="97">
        <f t="shared" si="49"/>
        <v>136792.8561</v>
      </c>
      <c r="AN10" s="97">
        <f t="shared" si="49"/>
        <v>54717.14244</v>
      </c>
      <c r="AO10" s="96">
        <f t="shared" si="49"/>
        <v>103.3333333</v>
      </c>
      <c r="AP10" s="97">
        <f t="shared" si="49"/>
        <v>191509.9986</v>
      </c>
      <c r="AQ10" s="97">
        <f t="shared" si="49"/>
        <v>136792.8561</v>
      </c>
      <c r="AR10" s="97">
        <f t="shared" si="49"/>
        <v>54717.14244</v>
      </c>
      <c r="AS10" s="96">
        <f t="shared" si="49"/>
        <v>103.3333333</v>
      </c>
      <c r="AT10" s="97">
        <f t="shared" si="49"/>
        <v>191509.9986</v>
      </c>
      <c r="AU10" s="97">
        <f t="shared" si="49"/>
        <v>136792.8561</v>
      </c>
      <c r="AV10" s="97">
        <f t="shared" si="49"/>
        <v>54717.14244</v>
      </c>
      <c r="AW10" s="96">
        <f t="shared" si="49"/>
        <v>103.3333333</v>
      </c>
      <c r="AX10" s="97">
        <f t="shared" si="49"/>
        <v>191509.9986</v>
      </c>
      <c r="AY10" s="97">
        <f t="shared" si="49"/>
        <v>136792.8561</v>
      </c>
      <c r="AZ10" s="97">
        <f t="shared" si="49"/>
        <v>54717.14244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AC2:AF2"/>
    <mergeCell ref="AG2:AJ2"/>
    <mergeCell ref="AK2:AN2"/>
    <mergeCell ref="AO2:AR2"/>
    <mergeCell ref="AS2:AV2"/>
    <mergeCell ref="AW2:AZ2"/>
    <mergeCell ref="A1:BB1"/>
    <mergeCell ref="E2:H2"/>
    <mergeCell ref="I2:L2"/>
    <mergeCell ref="M2:P2"/>
    <mergeCell ref="Q2:T2"/>
    <mergeCell ref="U2:X2"/>
    <mergeCell ref="Y2:AB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3.43"/>
    <col customWidth="1" min="2" max="2" width="34.86"/>
    <col customWidth="1" min="3" max="3" width="27.86"/>
    <col customWidth="1" min="4" max="4" width="16.71"/>
    <col customWidth="1" min="5" max="5" width="14.0"/>
    <col customWidth="1" min="6" max="26" width="8.71"/>
  </cols>
  <sheetData>
    <row r="1" ht="14.25" customHeight="1">
      <c r="A1" s="98" t="s">
        <v>241</v>
      </c>
    </row>
    <row r="2" ht="14.25" customHeight="1">
      <c r="A2" s="29" t="s">
        <v>242</v>
      </c>
      <c r="B2" s="29" t="s">
        <v>243</v>
      </c>
      <c r="C2" s="29" t="s">
        <v>244</v>
      </c>
      <c r="D2" s="29" t="s">
        <v>245</v>
      </c>
      <c r="E2" s="29" t="s">
        <v>129</v>
      </c>
    </row>
    <row r="3" ht="14.25" customHeight="1">
      <c r="A3" s="30" t="s">
        <v>34</v>
      </c>
      <c r="B3" s="30" t="s">
        <v>128</v>
      </c>
      <c r="C3" s="30" t="s">
        <v>246</v>
      </c>
      <c r="D3" s="30">
        <v>425.0</v>
      </c>
      <c r="E3" s="32" t="s">
        <v>247</v>
      </c>
    </row>
    <row r="4" ht="14.25" customHeight="1">
      <c r="A4" s="30" t="s">
        <v>35</v>
      </c>
      <c r="B4" s="30" t="s">
        <v>135</v>
      </c>
      <c r="C4" s="30" t="s">
        <v>248</v>
      </c>
      <c r="D4" s="30">
        <v>337.0</v>
      </c>
      <c r="E4" s="32" t="s">
        <v>247</v>
      </c>
    </row>
    <row r="5" ht="14.25" customHeight="1">
      <c r="A5" s="30" t="s">
        <v>36</v>
      </c>
      <c r="B5" s="30" t="s">
        <v>142</v>
      </c>
      <c r="C5" s="30" t="s">
        <v>249</v>
      </c>
      <c r="D5" s="30">
        <v>2475.0</v>
      </c>
      <c r="E5" s="32" t="s">
        <v>247</v>
      </c>
    </row>
    <row r="6" ht="14.25" customHeight="1">
      <c r="A6" s="30" t="s">
        <v>37</v>
      </c>
      <c r="B6" s="30" t="s">
        <v>147</v>
      </c>
      <c r="C6" s="30" t="s">
        <v>250</v>
      </c>
      <c r="D6" s="30">
        <v>250.0</v>
      </c>
      <c r="E6" s="32" t="s">
        <v>247</v>
      </c>
    </row>
    <row r="7" ht="14.25" customHeight="1">
      <c r="E7" s="78"/>
    </row>
    <row r="8" ht="14.25" customHeight="1">
      <c r="A8" s="2" t="s">
        <v>251</v>
      </c>
    </row>
    <row r="9" ht="14.25" customHeight="1">
      <c r="A9" s="29" t="s">
        <v>252</v>
      </c>
      <c r="B9" s="29" t="s">
        <v>253</v>
      </c>
      <c r="C9" s="29" t="s">
        <v>254</v>
      </c>
      <c r="D9" s="29" t="s">
        <v>255</v>
      </c>
    </row>
    <row r="10" ht="14.25" customHeight="1">
      <c r="A10" s="30" t="s">
        <v>256</v>
      </c>
      <c r="B10" s="30" t="s">
        <v>257</v>
      </c>
      <c r="C10" s="30">
        <v>55.0</v>
      </c>
      <c r="D10" s="30">
        <v>0.4</v>
      </c>
    </row>
    <row r="11" ht="14.25" customHeight="1">
      <c r="A11" s="30" t="s">
        <v>258</v>
      </c>
      <c r="B11" s="30" t="s">
        <v>259</v>
      </c>
      <c r="C11" s="30">
        <v>100.0</v>
      </c>
      <c r="D11" s="30">
        <v>0.25</v>
      </c>
    </row>
    <row r="12" ht="14.25" customHeight="1">
      <c r="A12" s="30" t="s">
        <v>260</v>
      </c>
      <c r="B12" s="30" t="s">
        <v>261</v>
      </c>
      <c r="C12" s="30">
        <v>115.0</v>
      </c>
      <c r="D12" s="30">
        <v>0.2</v>
      </c>
    </row>
    <row r="13" ht="14.25" customHeight="1">
      <c r="A13" s="30" t="s">
        <v>262</v>
      </c>
      <c r="B13" s="30" t="s">
        <v>263</v>
      </c>
      <c r="C13" s="30">
        <v>140.0</v>
      </c>
      <c r="D13" s="30">
        <v>0.15</v>
      </c>
    </row>
    <row r="14" ht="14.25" customHeight="1"/>
    <row r="15" ht="14.25" customHeight="1">
      <c r="A15" s="2" t="s">
        <v>264</v>
      </c>
    </row>
    <row r="16" ht="14.25" customHeight="1">
      <c r="A16" s="29" t="s">
        <v>252</v>
      </c>
      <c r="B16" s="29" t="s">
        <v>265</v>
      </c>
      <c r="C16" s="29" t="s">
        <v>255</v>
      </c>
      <c r="D16" s="29" t="s">
        <v>266</v>
      </c>
    </row>
    <row r="17" ht="14.25" customHeight="1">
      <c r="A17" s="30" t="s">
        <v>256</v>
      </c>
      <c r="B17" s="30">
        <v>55.0</v>
      </c>
      <c r="C17" s="30">
        <v>0.4</v>
      </c>
      <c r="D17" s="30">
        <f t="shared" ref="D17:D20" si="1">B17*C17</f>
        <v>22</v>
      </c>
    </row>
    <row r="18" ht="14.25" customHeight="1">
      <c r="A18" s="30" t="s">
        <v>258</v>
      </c>
      <c r="B18" s="30">
        <v>100.0</v>
      </c>
      <c r="C18" s="30">
        <v>0.25</v>
      </c>
      <c r="D18" s="30">
        <f t="shared" si="1"/>
        <v>25</v>
      </c>
    </row>
    <row r="19" ht="14.25" customHeight="1">
      <c r="A19" s="30" t="s">
        <v>260</v>
      </c>
      <c r="B19" s="30">
        <v>115.0</v>
      </c>
      <c r="C19" s="30">
        <v>0.2</v>
      </c>
      <c r="D19" s="30">
        <f t="shared" si="1"/>
        <v>23</v>
      </c>
    </row>
    <row r="20" ht="14.25" customHeight="1">
      <c r="A20" s="30" t="s">
        <v>262</v>
      </c>
      <c r="B20" s="30">
        <v>140.0</v>
      </c>
      <c r="C20" s="30">
        <v>0.15</v>
      </c>
      <c r="D20" s="30">
        <f t="shared" si="1"/>
        <v>21</v>
      </c>
    </row>
    <row r="21" ht="14.25" customHeight="1">
      <c r="A21" s="99" t="s">
        <v>267</v>
      </c>
      <c r="B21" s="30"/>
      <c r="C21" s="30"/>
      <c r="D21" s="99">
        <f>SUM(D17:D20)</f>
        <v>91</v>
      </c>
    </row>
    <row r="22" ht="14.25" customHeight="1"/>
    <row r="23" ht="14.25" customHeight="1"/>
    <row r="24" ht="14.25" customHeight="1">
      <c r="A24" s="29" t="s">
        <v>268</v>
      </c>
      <c r="B24" s="29" t="s">
        <v>80</v>
      </c>
    </row>
    <row r="25" ht="14.25" customHeight="1">
      <c r="A25" s="100" t="s">
        <v>269</v>
      </c>
      <c r="B25" s="101" t="s">
        <v>270</v>
      </c>
    </row>
    <row r="26" ht="14.25" customHeight="1">
      <c r="A26" s="100" t="s">
        <v>271</v>
      </c>
      <c r="B26" s="101" t="s">
        <v>272</v>
      </c>
    </row>
    <row r="27" ht="14.25" customHeight="1">
      <c r="A27" s="100" t="s">
        <v>273</v>
      </c>
      <c r="B27" s="101" t="s">
        <v>274</v>
      </c>
    </row>
    <row r="28" ht="14.25" customHeight="1">
      <c r="A28" s="102" t="s">
        <v>275</v>
      </c>
      <c r="B28" s="101" t="s">
        <v>276</v>
      </c>
    </row>
    <row r="29" ht="14.25" customHeight="1">
      <c r="A29" s="103"/>
      <c r="B29" s="101" t="s">
        <v>277</v>
      </c>
    </row>
    <row r="30" ht="14.25" customHeight="1">
      <c r="A30" s="100" t="s">
        <v>278</v>
      </c>
      <c r="B30" s="101" t="s">
        <v>279</v>
      </c>
    </row>
    <row r="31" ht="14.25" customHeight="1">
      <c r="A31" s="100" t="s">
        <v>280</v>
      </c>
      <c r="B31" s="101" t="s">
        <v>281</v>
      </c>
    </row>
    <row r="32" ht="14.25" customHeight="1">
      <c r="A32" s="100" t="s">
        <v>282</v>
      </c>
      <c r="B32" s="101" t="s">
        <v>283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8:A29"/>
  </mergeCells>
  <hyperlinks>
    <hyperlink r:id="rId1" ref="B25"/>
    <hyperlink r:id="rId2" ref="B26"/>
    <hyperlink r:id="rId3" ref="B27"/>
    <hyperlink r:id="rId4" ref="B28"/>
    <hyperlink r:id="rId5" ref="B29"/>
    <hyperlink r:id="rId6" ref="B30"/>
    <hyperlink r:id="rId7" ref="B31"/>
    <hyperlink r:id="rId8" ref="B32"/>
  </hyperlinks>
  <printOptions/>
  <pageMargins bottom="0.75" footer="0.0" header="0.0" left="0.7" right="0.7" top="0.75"/>
  <pageSetup orientation="landscape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1.43"/>
    <col customWidth="1" min="2" max="2" width="16.14"/>
    <col customWidth="1" min="3" max="3" width="7.57"/>
    <col customWidth="1" min="4" max="5" width="12.29"/>
    <col customWidth="1" min="6" max="6" width="10.43"/>
    <col customWidth="1" min="7" max="7" width="9.71"/>
    <col customWidth="1" min="8" max="26" width="8.71"/>
  </cols>
  <sheetData>
    <row r="1" ht="14.25" customHeight="1">
      <c r="A1" s="88" t="s">
        <v>284</v>
      </c>
    </row>
    <row r="2" ht="14.25" customHeight="1"/>
    <row r="3" ht="14.25" customHeight="1">
      <c r="A3" s="104" t="s">
        <v>3</v>
      </c>
      <c r="B3" s="105" t="str">
        <f>Assumptions!B3</f>
        <v>Base Case</v>
      </c>
    </row>
    <row r="4" ht="14.25" customHeight="1">
      <c r="A4" s="104" t="s">
        <v>285</v>
      </c>
      <c r="B4" s="105">
        <f>Assumptions!E4</f>
        <v>225192.5429</v>
      </c>
    </row>
    <row r="6" ht="14.25" customHeight="1">
      <c r="A6" s="104" t="s">
        <v>286</v>
      </c>
      <c r="B6" s="105">
        <f>SUM(Assumptions!C11:C16)</f>
        <v>1240</v>
      </c>
    </row>
    <row r="7" ht="14.25" customHeight="1">
      <c r="A7" s="104" t="s">
        <v>287</v>
      </c>
      <c r="B7" s="105">
        <f>'Monthly FP&amp;A'!F10+'Monthly FP&amp;A'!J10+'Monthly FP&amp;A'!N10+'Monthly FP&amp;A'!R10+'Monthly FP&amp;A'!V10+'Monthly FP&amp;A'!Z10+'Monthly FP&amp;A'!AD10+'Monthly FP&amp;A'!AH10+'Monthly FP&amp;A'!AL10+'Monthly FP&amp;A'!AP10+'Monthly FP&amp;A'!AT10+'Monthly FP&amp;A'!AX10</f>
        <v>2298119.983</v>
      </c>
    </row>
    <row r="8" ht="14.25" customHeight="1">
      <c r="A8" s="104" t="s">
        <v>288</v>
      </c>
      <c r="B8" s="105">
        <f>'Monthly FP&amp;A'!G10+'Monthly FP&amp;A'!K10+'Monthly FP&amp;A'!O10+'Monthly FP&amp;A'!S10+'Monthly FP&amp;A'!W10+'Monthly FP&amp;A'!AA10+'Monthly FP&amp;A'!AE10+'Monthly FP&amp;A'!AI10+'Monthly FP&amp;A'!AM10+'Monthly FP&amp;A'!AQ10+'Monthly FP&amp;A'!AU10+'Monthly FP&amp;A'!AY10</f>
        <v>1641514.273</v>
      </c>
    </row>
    <row r="9" ht="14.25" customHeight="1">
      <c r="A9" s="104" t="s">
        <v>289</v>
      </c>
      <c r="B9" s="105">
        <f>'Monthly FP&amp;A'!H10+'Monthly FP&amp;A'!L10+'Monthly FP&amp;A'!P10+'Monthly FP&amp;A'!T10+'Monthly FP&amp;A'!X10+'Monthly FP&amp;A'!AB10+'Monthly FP&amp;A'!AF10+'Monthly FP&amp;A'!AJ10+'Monthly FP&amp;A'!AN10+'Monthly FP&amp;A'!AR10+'Monthly FP&amp;A'!AV10+'Monthly FP&amp;A'!AZ10</f>
        <v>656605.7093</v>
      </c>
    </row>
    <row r="10" ht="14.25" customHeight="1">
      <c r="A10" s="104" t="s">
        <v>26</v>
      </c>
      <c r="B10" s="106">
        <f>IF(B7=0,0,B9/B7)</f>
        <v>0.2857142857</v>
      </c>
    </row>
    <row r="11" ht="14.25" customHeight="1">
      <c r="A11" s="104" t="s">
        <v>290</v>
      </c>
      <c r="B11" s="105">
        <f>IF(B10=0,0,B4/B10)</f>
        <v>788173.9</v>
      </c>
    </row>
    <row r="12" ht="14.25" customHeight="1">
      <c r="A12" s="104" t="s">
        <v>291</v>
      </c>
      <c r="B12" s="107">
        <f>IF(B9=0,0,B11/SUM(B19))</f>
        <v>425.2761576</v>
      </c>
    </row>
    <row r="13" ht="14.25" customHeight="1"/>
    <row r="14" ht="14.25" customHeight="1">
      <c r="A14" s="2" t="s">
        <v>292</v>
      </c>
      <c r="B14" s="108">
        <f>B8</f>
        <v>1641514.273</v>
      </c>
    </row>
    <row r="15" ht="14.25" customHeight="1">
      <c r="A15" s="2" t="s">
        <v>293</v>
      </c>
      <c r="B15" s="108">
        <f>SUM('ABC Allocation'!I14:I19)</f>
        <v>256230.4789</v>
      </c>
      <c r="K15" s="78"/>
    </row>
    <row r="16" ht="14.25" customHeight="1">
      <c r="A16" s="2" t="s">
        <v>104</v>
      </c>
      <c r="B16" s="108">
        <f>SUM(B14:B15)</f>
        <v>1897744.752</v>
      </c>
    </row>
    <row r="17" ht="14.25" customHeight="1"/>
    <row r="18" ht="14.25" customHeight="1"/>
    <row r="19" ht="14.25" customHeight="1">
      <c r="A19" s="2" t="s">
        <v>294</v>
      </c>
      <c r="B19" s="109">
        <f>B7/B6</f>
        <v>1853.322567</v>
      </c>
    </row>
    <row r="20" ht="14.25" customHeight="1">
      <c r="D20" s="110" t="s">
        <v>43</v>
      </c>
      <c r="E20" s="110" t="s">
        <v>295</v>
      </c>
      <c r="F20" s="110" t="s">
        <v>181</v>
      </c>
      <c r="G20" s="110" t="s">
        <v>296</v>
      </c>
    </row>
    <row r="21" ht="14.25" customHeight="1">
      <c r="D21" s="34">
        <v>0.0</v>
      </c>
      <c r="E21" s="39">
        <f t="shared" ref="E21:E31" si="1">D21*$B$19</f>
        <v>0</v>
      </c>
      <c r="F21" s="111">
        <f t="shared" ref="F21:F31" si="2">((1-$B$10)*E21)+$B$4</f>
        <v>225192.5429</v>
      </c>
      <c r="G21" s="111">
        <f t="shared" ref="G21:G31" si="3">(E21*$B$10)-$B$4</f>
        <v>-225192.5429</v>
      </c>
    </row>
    <row r="22" ht="14.25" customHeight="1">
      <c r="D22" s="34">
        <v>100.0</v>
      </c>
      <c r="E22" s="39">
        <f t="shared" si="1"/>
        <v>185332.2567</v>
      </c>
      <c r="F22" s="111">
        <f t="shared" si="2"/>
        <v>357572.7262</v>
      </c>
      <c r="G22" s="111">
        <f t="shared" si="3"/>
        <v>-172240.4695</v>
      </c>
    </row>
    <row r="23" ht="14.25" customHeight="1">
      <c r="D23" s="34">
        <v>200.0</v>
      </c>
      <c r="E23" s="39">
        <f t="shared" si="1"/>
        <v>370664.5133</v>
      </c>
      <c r="F23" s="111">
        <f t="shared" si="2"/>
        <v>489952.9095</v>
      </c>
      <c r="G23" s="111">
        <f t="shared" si="3"/>
        <v>-119288.3962</v>
      </c>
    </row>
    <row r="24" ht="14.25" customHeight="1">
      <c r="D24" s="34">
        <v>300.0</v>
      </c>
      <c r="E24" s="39">
        <f t="shared" si="1"/>
        <v>555996.77</v>
      </c>
      <c r="F24" s="111">
        <f t="shared" si="2"/>
        <v>622333.0929</v>
      </c>
      <c r="G24" s="111">
        <f t="shared" si="3"/>
        <v>-66336.32286</v>
      </c>
    </row>
    <row r="25" ht="14.25" customHeight="1">
      <c r="D25" s="34">
        <v>400.0</v>
      </c>
      <c r="E25" s="39">
        <f t="shared" si="1"/>
        <v>741329.0267</v>
      </c>
      <c r="F25" s="111">
        <f t="shared" si="2"/>
        <v>754713.2762</v>
      </c>
      <c r="G25" s="111">
        <f t="shared" si="3"/>
        <v>-13384.24952</v>
      </c>
    </row>
    <row r="26" ht="14.25" customHeight="1">
      <c r="D26" s="34">
        <v>500.0</v>
      </c>
      <c r="E26" s="39">
        <f t="shared" si="1"/>
        <v>926661.2833</v>
      </c>
      <c r="F26" s="111">
        <f t="shared" si="2"/>
        <v>887093.4595</v>
      </c>
      <c r="G26" s="111">
        <f t="shared" si="3"/>
        <v>39567.82381</v>
      </c>
    </row>
    <row r="27" ht="14.25" customHeight="1">
      <c r="D27" s="34">
        <v>600.0</v>
      </c>
      <c r="E27" s="39">
        <f t="shared" si="1"/>
        <v>1111993.54</v>
      </c>
      <c r="F27" s="111">
        <f t="shared" si="2"/>
        <v>1019473.643</v>
      </c>
      <c r="G27" s="111">
        <f t="shared" si="3"/>
        <v>92519.89714</v>
      </c>
    </row>
    <row r="28" ht="14.25" customHeight="1">
      <c r="D28" s="34">
        <v>700.0</v>
      </c>
      <c r="E28" s="39">
        <f t="shared" si="1"/>
        <v>1297325.797</v>
      </c>
      <c r="F28" s="111">
        <f t="shared" si="2"/>
        <v>1151853.826</v>
      </c>
      <c r="G28" s="111">
        <f t="shared" si="3"/>
        <v>145471.9705</v>
      </c>
    </row>
    <row r="29" ht="14.25" customHeight="1">
      <c r="D29" s="34">
        <v>800.0</v>
      </c>
      <c r="E29" s="39">
        <f t="shared" si="1"/>
        <v>1482658.053</v>
      </c>
      <c r="F29" s="111">
        <f t="shared" si="2"/>
        <v>1284234.01</v>
      </c>
      <c r="G29" s="111">
        <f t="shared" si="3"/>
        <v>198424.0438</v>
      </c>
    </row>
    <row r="30" ht="14.25" customHeight="1">
      <c r="D30" s="34">
        <v>900.0</v>
      </c>
      <c r="E30" s="39">
        <f t="shared" si="1"/>
        <v>1667990.31</v>
      </c>
      <c r="F30" s="111">
        <f t="shared" si="2"/>
        <v>1416614.193</v>
      </c>
      <c r="G30" s="111">
        <f t="shared" si="3"/>
        <v>251376.1171</v>
      </c>
    </row>
    <row r="31" ht="14.25" customHeight="1">
      <c r="D31" s="34">
        <v>1000.0</v>
      </c>
      <c r="E31" s="39">
        <f t="shared" si="1"/>
        <v>1853322.567</v>
      </c>
      <c r="F31" s="111">
        <f t="shared" si="2"/>
        <v>1548994.376</v>
      </c>
      <c r="G31" s="111">
        <f t="shared" si="3"/>
        <v>304328.1905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B42" s="110" t="s">
        <v>297</v>
      </c>
      <c r="C42" s="110" t="s">
        <v>43</v>
      </c>
      <c r="D42" s="112" t="s">
        <v>298</v>
      </c>
      <c r="E42" s="112" t="s">
        <v>299</v>
      </c>
      <c r="F42" s="110" t="s">
        <v>300</v>
      </c>
      <c r="G42" s="110" t="s">
        <v>301</v>
      </c>
    </row>
    <row r="43" ht="14.25" customHeight="1">
      <c r="B43" s="113" t="str">
        <f>Assumptions!A11</f>
        <v>Quarter Pipe</v>
      </c>
      <c r="C43" s="113">
        <f>Assumptions!M11</f>
        <v>248</v>
      </c>
      <c r="D43" s="114">
        <f>Assumptions!S11</f>
        <v>669.4613333</v>
      </c>
      <c r="E43" s="114">
        <f>Assumptions!R11</f>
        <v>478.1866667</v>
      </c>
      <c r="F43" s="114">
        <f t="shared" ref="F43:F48" si="4">D43-E43</f>
        <v>191.2746667</v>
      </c>
      <c r="G43" s="114">
        <f t="shared" ref="G43:G48" si="5">F43*C43</f>
        <v>47436.11733</v>
      </c>
    </row>
    <row r="44" ht="14.25" customHeight="1">
      <c r="B44" s="113" t="str">
        <f>Assumptions!A12</f>
        <v>Bank Ramp</v>
      </c>
      <c r="C44" s="113">
        <f>Assumptions!M12</f>
        <v>248</v>
      </c>
      <c r="D44" s="114">
        <f>Assumptions!S12</f>
        <v>578.508</v>
      </c>
      <c r="E44" s="114">
        <f>Assumptions!R12</f>
        <v>413.22</v>
      </c>
      <c r="F44" s="114">
        <f t="shared" si="4"/>
        <v>165.288</v>
      </c>
      <c r="G44" s="114">
        <f t="shared" si="5"/>
        <v>40991.424</v>
      </c>
    </row>
    <row r="45" ht="14.25" customHeight="1">
      <c r="B45" s="113" t="str">
        <f>Assumptions!A13</f>
        <v>Funbox</v>
      </c>
      <c r="C45" s="113">
        <f>Assumptions!M13</f>
        <v>310</v>
      </c>
      <c r="D45" s="114">
        <f>Assumptions!S13</f>
        <v>2755.396</v>
      </c>
      <c r="E45" s="114">
        <f>Assumptions!R13</f>
        <v>1968.14</v>
      </c>
      <c r="F45" s="114">
        <f t="shared" si="4"/>
        <v>787.256</v>
      </c>
      <c r="G45" s="114">
        <f t="shared" si="5"/>
        <v>244049.36</v>
      </c>
    </row>
    <row r="46" ht="14.25" customHeight="1">
      <c r="B46" s="113" t="str">
        <f>Assumptions!A14</f>
        <v>Launch Ramp</v>
      </c>
      <c r="C46" s="113">
        <f>Assumptions!M14</f>
        <v>124</v>
      </c>
      <c r="D46" s="114">
        <f>Assumptions!S14</f>
        <v>497.0886667</v>
      </c>
      <c r="E46" s="114">
        <f>Assumptions!R14</f>
        <v>355.0633333</v>
      </c>
      <c r="F46" s="114">
        <f t="shared" si="4"/>
        <v>142.0253333</v>
      </c>
      <c r="G46" s="114">
        <f t="shared" si="5"/>
        <v>17611.14133</v>
      </c>
    </row>
    <row r="47" ht="14.25" customHeight="1">
      <c r="B47" s="113" t="str">
        <f>Assumptions!A15</f>
        <v>Skatelite Upgrade</v>
      </c>
      <c r="C47" s="113">
        <f>Assumptions!M15</f>
        <v>186</v>
      </c>
      <c r="D47" s="114">
        <f>Assumptions!S15</f>
        <v>5426.115333</v>
      </c>
      <c r="E47" s="114">
        <f>Assumptions!R15</f>
        <v>3875.796667</v>
      </c>
      <c r="F47" s="114">
        <f t="shared" si="4"/>
        <v>1550.318667</v>
      </c>
      <c r="G47" s="114">
        <f t="shared" si="5"/>
        <v>288359.272</v>
      </c>
    </row>
    <row r="48" ht="14.25" customHeight="1">
      <c r="B48" s="113" t="str">
        <f>Assumptions!A16</f>
        <v>Coping Upgrade</v>
      </c>
      <c r="C48" s="113">
        <f>Assumptions!M16</f>
        <v>124</v>
      </c>
      <c r="D48" s="114">
        <f>Assumptions!S16</f>
        <v>512.5353333</v>
      </c>
      <c r="E48" s="114">
        <f>Assumptions!R16</f>
        <v>366.0966667</v>
      </c>
      <c r="F48" s="114">
        <f t="shared" si="4"/>
        <v>146.4386667</v>
      </c>
      <c r="G48" s="114">
        <f t="shared" si="5"/>
        <v>18158.39467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>
      <c r="N63" s="115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 ht="14.25" customHeight="1">
      <c r="A1" s="88" t="s">
        <v>302</v>
      </c>
    </row>
    <row r="2" ht="14.25" customHeight="1"/>
    <row r="3" ht="14.25" customHeight="1">
      <c r="A3" s="6" t="s">
        <v>303</v>
      </c>
    </row>
    <row r="4" ht="14.25" customHeight="1">
      <c r="A4" s="6" t="s">
        <v>304</v>
      </c>
    </row>
    <row r="5" ht="14.25" customHeight="1">
      <c r="A5" s="6" t="s">
        <v>305</v>
      </c>
    </row>
    <row r="6" ht="14.25" customHeight="1">
      <c r="A6" s="6" t="s">
        <v>306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2025-12-12T23:43:34Z</dcterms:created>
  <dc:creator>Adam Berba</dc:creator>
</cp:coreProperties>
</file>